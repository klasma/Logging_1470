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36627-2025</t>
        </is>
      </c>
      <c r="B2" s="1" t="n">
        <v>45870</v>
      </c>
      <c r="C2" s="1" t="n">
        <v>46203</v>
      </c>
      <c r="D2" t="inlineStr">
        <is>
          <t>VÄSTRA GÖTALANDS LÄN</t>
        </is>
      </c>
      <c r="E2" t="inlineStr">
        <is>
          <t>VARA</t>
        </is>
      </c>
      <c r="G2" t="n">
        <v>3.6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Vanlig padda</t>
        </is>
      </c>
      <c r="S2">
        <f>HYPERLINK("https://klasma.github.io/Logging_1470/artfynd/A 36627-2025 artfynd.xlsx", "A 36627-2025")</f>
        <v/>
      </c>
      <c r="T2">
        <f>HYPERLINK("https://klasma.github.io/Logging_1470/kartor/A 36627-2025 karta.png", "A 36627-2025")</f>
        <v/>
      </c>
      <c r="V2">
        <f>HYPERLINK("https://klasma.github.io/Logging_1470/klagomål/A 36627-2025 FSC-klagomål.docx", "A 36627-2025")</f>
        <v/>
      </c>
      <c r="W2">
        <f>HYPERLINK("https://klasma.github.io/Logging_1470/klagomålsmail/A 36627-2025 FSC-klagomål mail.docx", "A 36627-2025")</f>
        <v/>
      </c>
      <c r="X2">
        <f>HYPERLINK("https://klasma.github.io/Logging_1470/tillsyn/A 36627-2025 tillsynsbegäran.docx", "A 36627-2025")</f>
        <v/>
      </c>
      <c r="Y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46203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56164-2024</t>
        </is>
      </c>
      <c r="B4" s="1" t="n">
        <v>45624</v>
      </c>
      <c r="C4" s="1" t="n">
        <v>46203</v>
      </c>
      <c r="D4" t="inlineStr">
        <is>
          <t>VÄSTRA GÖTALANDS LÄN</t>
        </is>
      </c>
      <c r="E4" t="inlineStr">
        <is>
          <t>VARA</t>
        </is>
      </c>
      <c r="G4" t="n">
        <v>15.7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HYPERLINK("https://klasma.github.io/Logging_1470/artfynd/A 56164-2024 artfynd.xlsx", "A 56164-2024")</f>
        <v/>
      </c>
      <c r="T4">
        <f>HYPERLINK("https://klasma.github.io/Logging_1470/kartor/A 56164-2024 karta.png", "A 56164-2024")</f>
        <v/>
      </c>
      <c r="V4">
        <f>HYPERLINK("https://klasma.github.io/Logging_1470/klagomål/A 56164-2024 FSC-klagomål.docx", "A 56164-2024")</f>
        <v/>
      </c>
      <c r="W4">
        <f>HYPERLINK("https://klasma.github.io/Logging_1470/klagomålsmail/A 56164-2024 FSC-klagomål mail.docx", "A 56164-2024")</f>
        <v/>
      </c>
      <c r="X4">
        <f>HYPERLINK("https://klasma.github.io/Logging_1470/tillsyn/A 56164-2024 tillsynsbegäran.docx", "A 56164-2024")</f>
        <v/>
      </c>
      <c r="Y4">
        <f>HYPERLINK("https://klasma.github.io/Logging_1470/tillsynsmail/A 56164-2024 tillsynsbegäran mail.docx", "A 56164-2024")</f>
        <v/>
      </c>
    </row>
    <row r="5" ht="15" customHeight="1">
      <c r="A5" t="inlineStr">
        <is>
          <t>A 54293-2023</t>
        </is>
      </c>
      <c r="B5" s="1" t="n">
        <v>45232</v>
      </c>
      <c r="C5" s="1" t="n">
        <v>46203</v>
      </c>
      <c r="D5" t="inlineStr">
        <is>
          <t>VÄSTRA GÖTALANDS LÄN</t>
        </is>
      </c>
      <c r="E5" t="inlineStr">
        <is>
          <t>VARA</t>
        </is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54293-2023 artfynd.xlsx", "A 54293-2023")</f>
        <v/>
      </c>
      <c r="T5">
        <f>HYPERLINK("https://klasma.github.io/Logging_1470/kartor/A 54293-2023 karta.png", "A 54293-2023")</f>
        <v/>
      </c>
      <c r="V5">
        <f>HYPERLINK("https://klasma.github.io/Logging_1470/klagomål/A 54293-2023 FSC-klagomål.docx", "A 54293-2023")</f>
        <v/>
      </c>
      <c r="W5">
        <f>HYPERLINK("https://klasma.github.io/Logging_1470/klagomålsmail/A 54293-2023 FSC-klagomål mail.docx", "A 54293-2023")</f>
        <v/>
      </c>
      <c r="X5">
        <f>HYPERLINK("https://klasma.github.io/Logging_1470/tillsyn/A 54293-2023 tillsynsbegäran.docx", "A 54293-2023")</f>
        <v/>
      </c>
      <c r="Y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s="1" t="n">
        <v>45726</v>
      </c>
      <c r="C6" s="1" t="n">
        <v>46203</v>
      </c>
      <c r="D6" t="inlineStr">
        <is>
          <t>VÄSTRA GÖTALANDS LÄN</t>
        </is>
      </c>
      <c r="E6" t="inlineStr">
        <is>
          <t>VARA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Härfågel</t>
        </is>
      </c>
      <c r="S6">
        <f>HYPERLINK("https://klasma.github.io/Logging_1470/artfynd/A 11270-2025 artfynd.xlsx", "A 11270-2025")</f>
        <v/>
      </c>
      <c r="T6">
        <f>HYPERLINK("https://klasma.github.io/Logging_1470/kartor/A 11270-2025 karta.png", "A 11270-2025")</f>
        <v/>
      </c>
      <c r="V6">
        <f>HYPERLINK("https://klasma.github.io/Logging_1470/klagomål/A 11270-2025 FSC-klagomål.docx", "A 11270-2025")</f>
        <v/>
      </c>
      <c r="W6">
        <f>HYPERLINK("https://klasma.github.io/Logging_1470/klagomålsmail/A 11270-2025 FSC-klagomål mail.docx", "A 11270-2025")</f>
        <v/>
      </c>
      <c r="X6">
        <f>HYPERLINK("https://klasma.github.io/Logging_1470/tillsyn/A 11270-2025 tillsynsbegäran.docx", "A 11270-2025")</f>
        <v/>
      </c>
      <c r="Y6">
        <f>HYPERLINK("https://klasma.github.io/Logging_1470/tillsynsmail/A 11270-2025 tillsynsbegäran mail.docx", "A 11270-2025")</f>
        <v/>
      </c>
      <c r="Z6">
        <f>HYPERLINK("https://klasma.github.io/Logging_1470/fåglar/A 11270-2025 prioriterade fågelarter.docx", "A 11270-2025")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46203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46203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46203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46203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46203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46203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46203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46203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46203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46203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46203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46203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</v>
      </c>
      <c r="C19" s="1" t="n">
        <v>46203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</v>
      </c>
      <c r="C20" s="1" t="n">
        <v>46203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46203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46203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46203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46203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46203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46203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46203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46203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46203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46203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</v>
      </c>
      <c r="C31" s="1" t="n">
        <v>46203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</v>
      </c>
      <c r="C32" s="1" t="n">
        <v>46203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50699-2021</t>
        </is>
      </c>
      <c r="B33" s="1" t="n">
        <v>44460</v>
      </c>
      <c r="C33" s="1" t="n">
        <v>46203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50702-2021</t>
        </is>
      </c>
      <c r="B34" s="1" t="n">
        <v>44460</v>
      </c>
      <c r="C34" s="1" t="n">
        <v>46203</v>
      </c>
      <c r="D34" t="inlineStr">
        <is>
          <t>VÄSTRA GÖTALANDS LÄN</t>
        </is>
      </c>
      <c r="E34" t="inlineStr">
        <is>
          <t>VARA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46203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46203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46203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50985-2022</t>
        </is>
      </c>
      <c r="B38" s="1" t="n">
        <v>44867</v>
      </c>
      <c r="C38" s="1" t="n">
        <v>46203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</v>
      </c>
      <c r="C39" s="1" t="n">
        <v>46203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46203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46203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50984-2022</t>
        </is>
      </c>
      <c r="B42" s="1" t="n">
        <v>44867</v>
      </c>
      <c r="C42" s="1" t="n">
        <v>46203</v>
      </c>
      <c r="D42" t="inlineStr">
        <is>
          <t>VÄSTRA GÖTALANDS LÄN</t>
        </is>
      </c>
      <c r="E42" t="inlineStr">
        <is>
          <t>VARA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33171-2022</t>
        </is>
      </c>
      <c r="B43" s="1" t="n">
        <v>44785</v>
      </c>
      <c r="C43" s="1" t="n">
        <v>46203</v>
      </c>
      <c r="D43" t="inlineStr">
        <is>
          <t>VÄSTRA GÖTALANDS LÄN</t>
        </is>
      </c>
      <c r="E43" t="inlineStr">
        <is>
          <t>VARA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10503-2022</t>
        </is>
      </c>
      <c r="B44" s="1" t="n">
        <v>44623</v>
      </c>
      <c r="C44" s="1" t="n">
        <v>46203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12173-2022</t>
        </is>
      </c>
      <c r="B45" s="1" t="n">
        <v>44636</v>
      </c>
      <c r="C45" s="1" t="n">
        <v>46203</v>
      </c>
      <c r="D45" t="inlineStr">
        <is>
          <t>VÄSTRA GÖTALANDS LÄN</t>
        </is>
      </c>
      <c r="E45" t="inlineStr">
        <is>
          <t>VARA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12175-2022</t>
        </is>
      </c>
      <c r="B46" s="1" t="n">
        <v>44636</v>
      </c>
      <c r="C46" s="1" t="n">
        <v>46203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21085-2022</t>
        </is>
      </c>
      <c r="B47" s="1" t="n">
        <v>44704</v>
      </c>
      <c r="C47" s="1" t="n">
        <v>46203</v>
      </c>
      <c r="D47" t="inlineStr">
        <is>
          <t>VÄSTRA GÖTALANDS LÄN</t>
        </is>
      </c>
      <c r="E47" t="inlineStr">
        <is>
          <t>VARA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9212-2022</t>
        </is>
      </c>
      <c r="B48" s="1" t="n">
        <v>44616</v>
      </c>
      <c r="C48" s="1" t="n">
        <v>46203</v>
      </c>
      <c r="D48" t="inlineStr">
        <is>
          <t>VÄSTRA GÖTALANDS LÄN</t>
        </is>
      </c>
      <c r="E48" t="inlineStr">
        <is>
          <t>VARA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62313-2023</t>
        </is>
      </c>
      <c r="B49" s="1" t="n">
        <v>45267</v>
      </c>
      <c r="C49" s="1" t="n">
        <v>46203</v>
      </c>
      <c r="D49" t="inlineStr">
        <is>
          <t>VÄSTRA GÖTALANDS LÄN</t>
        </is>
      </c>
      <c r="E49" t="inlineStr">
        <is>
          <t>VARA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59272-2023</t>
        </is>
      </c>
      <c r="B50" s="1" t="n">
        <v>45253</v>
      </c>
      <c r="C50" s="1" t="n">
        <v>46203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9411-2024</t>
        </is>
      </c>
      <c r="B51" s="1" t="n">
        <v>45359</v>
      </c>
      <c r="C51" s="1" t="n">
        <v>46203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57465-2024</t>
        </is>
      </c>
      <c r="B52" s="1" t="n">
        <v>45630</v>
      </c>
      <c r="C52" s="1" t="n">
        <v>46203</v>
      </c>
      <c r="D52" t="inlineStr">
        <is>
          <t>VÄSTRA GÖTALANDS LÄN</t>
        </is>
      </c>
      <c r="E52" t="inlineStr">
        <is>
          <t>VARA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6454-2024</t>
        </is>
      </c>
      <c r="B53" s="1" t="n">
        <v>45338</v>
      </c>
      <c r="C53" s="1" t="n">
        <v>46203</v>
      </c>
      <c r="D53" t="inlineStr">
        <is>
          <t>VÄSTRA GÖTALANDS LÄN</t>
        </is>
      </c>
      <c r="E53" t="inlineStr">
        <is>
          <t>VARA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50702-2022</t>
        </is>
      </c>
      <c r="B54" s="1" t="n">
        <v>44867</v>
      </c>
      <c r="C54" s="1" t="n">
        <v>46203</v>
      </c>
      <c r="D54" t="inlineStr">
        <is>
          <t>VÄSTRA GÖTALANDS LÄN</t>
        </is>
      </c>
      <c r="E54" t="inlineStr">
        <is>
          <t>VARA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61740-2023</t>
        </is>
      </c>
      <c r="B55" s="1" t="n">
        <v>45265</v>
      </c>
      <c r="C55" s="1" t="n">
        <v>46203</v>
      </c>
      <c r="D55" t="inlineStr">
        <is>
          <t>VÄSTRA GÖTALANDS LÄN</t>
        </is>
      </c>
      <c r="E55" t="inlineStr">
        <is>
          <t>VARA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13235-2024</t>
        </is>
      </c>
      <c r="B56" s="1" t="n">
        <v>45386</v>
      </c>
      <c r="C56" s="1" t="n">
        <v>46203</v>
      </c>
      <c r="D56" t="inlineStr">
        <is>
          <t>VÄSTRA GÖTALANDS LÄN</t>
        </is>
      </c>
      <c r="E56" t="inlineStr">
        <is>
          <t>VARA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725-2025</t>
        </is>
      </c>
      <c r="B57" s="1" t="n">
        <v>45665</v>
      </c>
      <c r="C57" s="1" t="n">
        <v>46203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50123-2025</t>
        </is>
      </c>
      <c r="B58" s="1" t="n">
        <v>45943</v>
      </c>
      <c r="C58" s="1" t="n">
        <v>46203</v>
      </c>
      <c r="D58" t="inlineStr">
        <is>
          <t>VÄSTRA GÖTALANDS LÄN</t>
        </is>
      </c>
      <c r="E58" t="inlineStr">
        <is>
          <t>VARA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13513-2024</t>
        </is>
      </c>
      <c r="B59" s="1" t="n">
        <v>45387</v>
      </c>
      <c r="C59" s="1" t="n">
        <v>46203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71326-2021</t>
        </is>
      </c>
      <c r="B60" s="1" t="n">
        <v>44539</v>
      </c>
      <c r="C60" s="1" t="n">
        <v>46203</v>
      </c>
      <c r="D60" t="inlineStr">
        <is>
          <t>VÄSTRA GÖTALANDS LÄN</t>
        </is>
      </c>
      <c r="E60" t="inlineStr">
        <is>
          <t>VARA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50604-2025</t>
        </is>
      </c>
      <c r="B61" s="1" t="n">
        <v>45944</v>
      </c>
      <c r="C61" s="1" t="n">
        <v>46203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59259-2023</t>
        </is>
      </c>
      <c r="B62" s="1" t="n">
        <v>45253</v>
      </c>
      <c r="C62" s="1" t="n">
        <v>46203</v>
      </c>
      <c r="D62" t="inlineStr">
        <is>
          <t>VÄSTRA GÖTALANDS LÄN</t>
        </is>
      </c>
      <c r="E62" t="inlineStr">
        <is>
          <t>VARA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10303-2024</t>
        </is>
      </c>
      <c r="B63" s="1" t="n">
        <v>45365</v>
      </c>
      <c r="C63" s="1" t="n">
        <v>46203</v>
      </c>
      <c r="D63" t="inlineStr">
        <is>
          <t>VÄSTRA GÖTALANDS LÄN</t>
        </is>
      </c>
      <c r="E63" t="inlineStr">
        <is>
          <t>VARA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9058-2025</t>
        </is>
      </c>
      <c r="B64" s="1" t="n">
        <v>45713</v>
      </c>
      <c r="C64" s="1" t="n">
        <v>46203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35588-2023</t>
        </is>
      </c>
      <c r="B65" s="1" t="n">
        <v>45146</v>
      </c>
      <c r="C65" s="1" t="n">
        <v>46203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9410-2024</t>
        </is>
      </c>
      <c r="B66" s="1" t="n">
        <v>45359</v>
      </c>
      <c r="C66" s="1" t="n">
        <v>46203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4289-2025</t>
        </is>
      </c>
      <c r="B67" s="1" t="n">
        <v>45685</v>
      </c>
      <c r="C67" s="1" t="n">
        <v>46203</v>
      </c>
      <c r="D67" t="inlineStr">
        <is>
          <t>VÄSTRA GÖTALANDS LÄN</t>
        </is>
      </c>
      <c r="E67" t="inlineStr">
        <is>
          <t>VARA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50709-2021</t>
        </is>
      </c>
      <c r="B68" s="1" t="n">
        <v>44460</v>
      </c>
      <c r="C68" s="1" t="n">
        <v>46203</v>
      </c>
      <c r="D68" t="inlineStr">
        <is>
          <t>VÄSTRA GÖTALANDS LÄN</t>
        </is>
      </c>
      <c r="E68" t="inlineStr">
        <is>
          <t>VARA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51212-2025</t>
        </is>
      </c>
      <c r="B69" s="1" t="n">
        <v>45947</v>
      </c>
      <c r="C69" s="1" t="n">
        <v>46203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51218-2025</t>
        </is>
      </c>
      <c r="B70" s="1" t="n">
        <v>45947</v>
      </c>
      <c r="C70" s="1" t="n">
        <v>46203</v>
      </c>
      <c r="D70" t="inlineStr">
        <is>
          <t>VÄSTRA GÖTALANDS LÄN</t>
        </is>
      </c>
      <c r="E70" t="inlineStr">
        <is>
          <t>VARA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51206-2025</t>
        </is>
      </c>
      <c r="B71" s="1" t="n">
        <v>45947</v>
      </c>
      <c r="C71" s="1" t="n">
        <v>46203</v>
      </c>
      <c r="D71" t="inlineStr">
        <is>
          <t>VÄSTRA GÖTALANDS LÄN</t>
        </is>
      </c>
      <c r="E71" t="inlineStr">
        <is>
          <t>VARA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9098-2025</t>
        </is>
      </c>
      <c r="B72" s="1" t="n">
        <v>45713</v>
      </c>
      <c r="C72" s="1" t="n">
        <v>46203</v>
      </c>
      <c r="D72" t="inlineStr">
        <is>
          <t>VÄSTRA GÖTALANDS LÄN</t>
        </is>
      </c>
      <c r="E72" t="inlineStr">
        <is>
          <t>VARA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49041-2022</t>
        </is>
      </c>
      <c r="B73" s="1" t="n">
        <v>44858</v>
      </c>
      <c r="C73" s="1" t="n">
        <v>46203</v>
      </c>
      <c r="D73" t="inlineStr">
        <is>
          <t>VÄSTRA GÖTALANDS LÄN</t>
        </is>
      </c>
      <c r="E73" t="inlineStr">
        <is>
          <t>VARA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23668-2025</t>
        </is>
      </c>
      <c r="B74" s="1" t="n">
        <v>45792</v>
      </c>
      <c r="C74" s="1" t="n">
        <v>46203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41286-2025</t>
        </is>
      </c>
      <c r="B75" s="1" t="n">
        <v>45898</v>
      </c>
      <c r="C75" s="1" t="n">
        <v>46203</v>
      </c>
      <c r="D75" t="inlineStr">
        <is>
          <t>VÄSTRA GÖTALANDS LÄN</t>
        </is>
      </c>
      <c r="E75" t="inlineStr">
        <is>
          <t>VARA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48908-2024</t>
        </is>
      </c>
      <c r="B76" s="1" t="n">
        <v>45594</v>
      </c>
      <c r="C76" s="1" t="n">
        <v>46203</v>
      </c>
      <c r="D76" t="inlineStr">
        <is>
          <t>VÄSTRA GÖTALANDS LÄN</t>
        </is>
      </c>
      <c r="E76" t="inlineStr">
        <is>
          <t>VARA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53604-2025</t>
        </is>
      </c>
      <c r="B77" s="1" t="n">
        <v>45960</v>
      </c>
      <c r="C77" s="1" t="n">
        <v>46203</v>
      </c>
      <c r="D77" t="inlineStr">
        <is>
          <t>VÄSTRA GÖTALANDS LÄN</t>
        </is>
      </c>
      <c r="E77" t="inlineStr">
        <is>
          <t>VARA</t>
        </is>
      </c>
      <c r="G77" t="n">
        <v>19.8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23669-2025</t>
        </is>
      </c>
      <c r="B78" s="1" t="n">
        <v>45792</v>
      </c>
      <c r="C78" s="1" t="n">
        <v>46203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53606-2025</t>
        </is>
      </c>
      <c r="B79" s="1" t="n">
        <v>45960</v>
      </c>
      <c r="C79" s="1" t="n">
        <v>46203</v>
      </c>
      <c r="D79" t="inlineStr">
        <is>
          <t>VÄSTRA GÖTALANDS LÄN</t>
        </is>
      </c>
      <c r="E79" t="inlineStr">
        <is>
          <t>VARA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41331-2025</t>
        </is>
      </c>
      <c r="B80" s="1" t="n">
        <v>45899</v>
      </c>
      <c r="C80" s="1" t="n">
        <v>46203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4303-2025</t>
        </is>
      </c>
      <c r="B81" s="1" t="n">
        <v>45685</v>
      </c>
      <c r="C81" s="1" t="n">
        <v>46203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57255-2022</t>
        </is>
      </c>
      <c r="B82" s="1" t="n">
        <v>44895</v>
      </c>
      <c r="C82" s="1" t="n">
        <v>46203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53802-2025</t>
        </is>
      </c>
      <c r="B83" s="1" t="n">
        <v>45960</v>
      </c>
      <c r="C83" s="1" t="n">
        <v>46203</v>
      </c>
      <c r="D83" t="inlineStr">
        <is>
          <t>VÄSTRA GÖTALANDS LÄN</t>
        </is>
      </c>
      <c r="E83" t="inlineStr">
        <is>
          <t>VARA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4434-2024</t>
        </is>
      </c>
      <c r="B84" s="1" t="n">
        <v>45327</v>
      </c>
      <c r="C84" s="1" t="n">
        <v>46203</v>
      </c>
      <c r="D84" t="inlineStr">
        <is>
          <t>VÄSTRA GÖTALANDS LÄN</t>
        </is>
      </c>
      <c r="E84" t="inlineStr">
        <is>
          <t>VARA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43216-2025</t>
        </is>
      </c>
      <c r="B85" s="1" t="n">
        <v>45910</v>
      </c>
      <c r="C85" s="1" t="n">
        <v>46203</v>
      </c>
      <c r="D85" t="inlineStr">
        <is>
          <t>VÄSTRA GÖTALANDS LÄN</t>
        </is>
      </c>
      <c r="E85" t="inlineStr">
        <is>
          <t>VARA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42920-2025</t>
        </is>
      </c>
      <c r="B86" s="1" t="n">
        <v>45908</v>
      </c>
      <c r="C86" s="1" t="n">
        <v>46203</v>
      </c>
      <c r="D86" t="inlineStr">
        <is>
          <t>VÄSTRA GÖTALANDS LÄN</t>
        </is>
      </c>
      <c r="E86" t="inlineStr">
        <is>
          <t>VARA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55561-2025</t>
        </is>
      </c>
      <c r="B87" s="1" t="n">
        <v>45971</v>
      </c>
      <c r="C87" s="1" t="n">
        <v>46203</v>
      </c>
      <c r="D87" t="inlineStr">
        <is>
          <t>VÄSTRA GÖTALANDS LÄN</t>
        </is>
      </c>
      <c r="E87" t="inlineStr">
        <is>
          <t>VARA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57313-2024</t>
        </is>
      </c>
      <c r="B88" s="1" t="n">
        <v>45629</v>
      </c>
      <c r="C88" s="1" t="n">
        <v>46203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57295-2024</t>
        </is>
      </c>
      <c r="B89" s="1" t="n">
        <v>45629</v>
      </c>
      <c r="C89" s="1" t="n">
        <v>46203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27819-2024</t>
        </is>
      </c>
      <c r="B90" s="1" t="n">
        <v>45475</v>
      </c>
      <c r="C90" s="1" t="n">
        <v>46203</v>
      </c>
      <c r="D90" t="inlineStr">
        <is>
          <t>VÄSTRA GÖTALANDS LÄN</t>
        </is>
      </c>
      <c r="E90" t="inlineStr">
        <is>
          <t>VARA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51398-2024</t>
        </is>
      </c>
      <c r="B91" s="1" t="n">
        <v>45604</v>
      </c>
      <c r="C91" s="1" t="n">
        <v>46203</v>
      </c>
      <c r="D91" t="inlineStr">
        <is>
          <t>VÄSTRA GÖTALANDS LÄN</t>
        </is>
      </c>
      <c r="E91" t="inlineStr">
        <is>
          <t>VARA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27856-2024</t>
        </is>
      </c>
      <c r="B92" s="1" t="n">
        <v>45475</v>
      </c>
      <c r="C92" s="1" t="n">
        <v>46203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57260-2025</t>
        </is>
      </c>
      <c r="B93" s="1" t="n">
        <v>45979</v>
      </c>
      <c r="C93" s="1" t="n">
        <v>46203</v>
      </c>
      <c r="D93" t="inlineStr">
        <is>
          <t>VÄSTRA GÖTALANDS LÄN</t>
        </is>
      </c>
      <c r="E93" t="inlineStr">
        <is>
          <t>VARA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59527-2024</t>
        </is>
      </c>
      <c r="B94" s="1" t="n">
        <v>45638</v>
      </c>
      <c r="C94" s="1" t="n">
        <v>46203</v>
      </c>
      <c r="D94" t="inlineStr">
        <is>
          <t>VÄSTRA GÖTALANDS LÄN</t>
        </is>
      </c>
      <c r="E94" t="inlineStr">
        <is>
          <t>VARA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12009-2025</t>
        </is>
      </c>
      <c r="B95" s="1" t="n">
        <v>45728</v>
      </c>
      <c r="C95" s="1" t="n">
        <v>46203</v>
      </c>
      <c r="D95" t="inlineStr">
        <is>
          <t>VÄSTRA GÖTALANDS LÄN</t>
        </is>
      </c>
      <c r="E95" t="inlineStr">
        <is>
          <t>VARA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14690-2024</t>
        </is>
      </c>
      <c r="B96" s="1" t="n">
        <v>45397</v>
      </c>
      <c r="C96" s="1" t="n">
        <v>46203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29814-2025</t>
        </is>
      </c>
      <c r="B97" s="1" t="n">
        <v>45825</v>
      </c>
      <c r="C97" s="1" t="n">
        <v>46203</v>
      </c>
      <c r="D97" t="inlineStr">
        <is>
          <t>VÄSTRA GÖTALANDS LÄN</t>
        </is>
      </c>
      <c r="E97" t="inlineStr">
        <is>
          <t>VARA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31163-2025</t>
        </is>
      </c>
      <c r="B98" s="1" t="n">
        <v>45832</v>
      </c>
      <c r="C98" s="1" t="n">
        <v>46203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60216-2025</t>
        </is>
      </c>
      <c r="B99" s="1" t="n">
        <v>45994</v>
      </c>
      <c r="C99" s="1" t="n">
        <v>46203</v>
      </c>
      <c r="D99" t="inlineStr">
        <is>
          <t>VÄSTRA GÖTALANDS LÄN</t>
        </is>
      </c>
      <c r="E99" t="inlineStr">
        <is>
          <t>VARA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31629-2025</t>
        </is>
      </c>
      <c r="B100" s="1" t="n">
        <v>45834</v>
      </c>
      <c r="C100" s="1" t="n">
        <v>46203</v>
      </c>
      <c r="D100" t="inlineStr">
        <is>
          <t>VÄSTRA GÖTALANDS LÄN</t>
        </is>
      </c>
      <c r="E100" t="inlineStr">
        <is>
          <t>VARA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60029-2025</t>
        </is>
      </c>
      <c r="B101" s="1" t="n">
        <v>45993</v>
      </c>
      <c r="C101" s="1" t="n">
        <v>46203</v>
      </c>
      <c r="D101" t="inlineStr">
        <is>
          <t>VÄSTRA GÖTALANDS LÄN</t>
        </is>
      </c>
      <c r="E101" t="inlineStr">
        <is>
          <t>VARA</t>
        </is>
      </c>
      <c r="G101" t="n">
        <v>19.6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33299-2023</t>
        </is>
      </c>
      <c r="B102" s="1" t="n">
        <v>45116</v>
      </c>
      <c r="C102" s="1" t="n">
        <v>46203</v>
      </c>
      <c r="D102" t="inlineStr">
        <is>
          <t>VÄSTRA GÖTALANDS LÄN</t>
        </is>
      </c>
      <c r="E102" t="inlineStr">
        <is>
          <t>VARA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20465-2024</t>
        </is>
      </c>
      <c r="B103" s="1" t="n">
        <v>45435</v>
      </c>
      <c r="C103" s="1" t="n">
        <v>46203</v>
      </c>
      <c r="D103" t="inlineStr">
        <is>
          <t>VÄSTRA GÖTALANDS LÄN</t>
        </is>
      </c>
      <c r="E103" t="inlineStr">
        <is>
          <t>VARA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64317-2023</t>
        </is>
      </c>
      <c r="B104" s="1" t="n">
        <v>45279</v>
      </c>
      <c r="C104" s="1" t="n">
        <v>46203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64330-2023</t>
        </is>
      </c>
      <c r="B105" s="1" t="n">
        <v>45279</v>
      </c>
      <c r="C105" s="1" t="n">
        <v>46203</v>
      </c>
      <c r="D105" t="inlineStr">
        <is>
          <t>VÄSTRA GÖTALANDS LÄN</t>
        </is>
      </c>
      <c r="E105" t="inlineStr">
        <is>
          <t>VARA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23065-2024</t>
        </is>
      </c>
      <c r="B106" s="1" t="n">
        <v>45450</v>
      </c>
      <c r="C106" s="1" t="n">
        <v>46203</v>
      </c>
      <c r="D106" t="inlineStr">
        <is>
          <t>VÄSTRA GÖTALANDS LÄN</t>
        </is>
      </c>
      <c r="E106" t="inlineStr">
        <is>
          <t>VARA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22532-2025</t>
        </is>
      </c>
      <c r="B107" s="1" t="n">
        <v>45786</v>
      </c>
      <c r="C107" s="1" t="n">
        <v>46203</v>
      </c>
      <c r="D107" t="inlineStr">
        <is>
          <t>VÄSTRA GÖTALANDS LÄN</t>
        </is>
      </c>
      <c r="E107" t="inlineStr">
        <is>
          <t>VARA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33672-2025</t>
        </is>
      </c>
      <c r="B108" s="1" t="n">
        <v>45841</v>
      </c>
      <c r="C108" s="1" t="n">
        <v>46203</v>
      </c>
      <c r="D108" t="inlineStr">
        <is>
          <t>VÄSTRA GÖTALANDS LÄN</t>
        </is>
      </c>
      <c r="E108" t="inlineStr">
        <is>
          <t>VARA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33664-2025</t>
        </is>
      </c>
      <c r="B109" s="1" t="n">
        <v>45841</v>
      </c>
      <c r="C109" s="1" t="n">
        <v>46203</v>
      </c>
      <c r="D109" t="inlineStr">
        <is>
          <t>VÄSTRA GÖTALANDS LÄN</t>
        </is>
      </c>
      <c r="E109" t="inlineStr">
        <is>
          <t>VARA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961-2023</t>
        </is>
      </c>
      <c r="B110" s="1" t="n">
        <v>44934</v>
      </c>
      <c r="C110" s="1" t="n">
        <v>46203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33910-2025</t>
        </is>
      </c>
      <c r="B111" s="1" t="n">
        <v>45842</v>
      </c>
      <c r="C111" s="1" t="n">
        <v>46203</v>
      </c>
      <c r="D111" t="inlineStr">
        <is>
          <t>VÄSTRA GÖTALANDS LÄN</t>
        </is>
      </c>
      <c r="E111" t="inlineStr">
        <is>
          <t>VARA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33099-2025</t>
        </is>
      </c>
      <c r="B112" s="1" t="n">
        <v>45840</v>
      </c>
      <c r="C112" s="1" t="n">
        <v>46203</v>
      </c>
      <c r="D112" t="inlineStr">
        <is>
          <t>VÄSTRA GÖTALANDS LÄN</t>
        </is>
      </c>
      <c r="E112" t="inlineStr">
        <is>
          <t>VARA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1197-2025</t>
        </is>
      </c>
      <c r="B113" s="1" t="n">
        <v>45667</v>
      </c>
      <c r="C113" s="1" t="n">
        <v>46203</v>
      </c>
      <c r="D113" t="inlineStr">
        <is>
          <t>VÄSTRA GÖTALANDS LÄN</t>
        </is>
      </c>
      <c r="E113" t="inlineStr">
        <is>
          <t>VARA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63842-2025</t>
        </is>
      </c>
      <c r="B114" s="1" t="n">
        <v>46020</v>
      </c>
      <c r="C114" s="1" t="n">
        <v>46203</v>
      </c>
      <c r="D114" t="inlineStr">
        <is>
          <t>VÄSTRA GÖTALANDS LÄN</t>
        </is>
      </c>
      <c r="E114" t="inlineStr">
        <is>
          <t>VARA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10728-2023</t>
        </is>
      </c>
      <c r="B115" s="1" t="n">
        <v>44988</v>
      </c>
      <c r="C115" s="1" t="n">
        <v>46203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49820-2022</t>
        </is>
      </c>
      <c r="B116" s="1" t="n">
        <v>44862</v>
      </c>
      <c r="C116" s="1" t="n">
        <v>46203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6974-2025</t>
        </is>
      </c>
      <c r="B117" s="1" t="n">
        <v>45701</v>
      </c>
      <c r="C117" s="1" t="n">
        <v>46203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36630-2025</t>
        </is>
      </c>
      <c r="B118" s="1" t="n">
        <v>45870</v>
      </c>
      <c r="C118" s="1" t="n">
        <v>46203</v>
      </c>
      <c r="D118" t="inlineStr">
        <is>
          <t>VÄSTRA GÖTALANDS LÄN</t>
        </is>
      </c>
      <c r="E118" t="inlineStr">
        <is>
          <t>VARA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36632-2025</t>
        </is>
      </c>
      <c r="B119" s="1" t="n">
        <v>45870</v>
      </c>
      <c r="C119" s="1" t="n">
        <v>46203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2867-2026</t>
        </is>
      </c>
      <c r="B120" s="1" t="n">
        <v>46038</v>
      </c>
      <c r="C120" s="1" t="n">
        <v>46203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33693-2021</t>
        </is>
      </c>
      <c r="B121" s="1" t="n">
        <v>44378</v>
      </c>
      <c r="C121" s="1" t="n">
        <v>46203</v>
      </c>
      <c r="D121" t="inlineStr">
        <is>
          <t>VÄSTRA GÖTALANDS LÄN</t>
        </is>
      </c>
      <c r="E121" t="inlineStr">
        <is>
          <t>VARA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62775-2023</t>
        </is>
      </c>
      <c r="B122" s="1" t="n">
        <v>45271</v>
      </c>
      <c r="C122" s="1" t="n">
        <v>46203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4278-2026</t>
        </is>
      </c>
      <c r="B123" s="1" t="n">
        <v>46045</v>
      </c>
      <c r="C123" s="1" t="n">
        <v>46203</v>
      </c>
      <c r="D123" t="inlineStr">
        <is>
          <t>VÄSTRA GÖTALANDS LÄN</t>
        </is>
      </c>
      <c r="E123" t="inlineStr">
        <is>
          <t>VARA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4701-2026</t>
        </is>
      </c>
      <c r="B124" s="1" t="n">
        <v>46048</v>
      </c>
      <c r="C124" s="1" t="n">
        <v>46203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9404-2022</t>
        </is>
      </c>
      <c r="B125" s="1" t="n">
        <v>44616</v>
      </c>
      <c r="C125" s="1" t="n">
        <v>46203</v>
      </c>
      <c r="D125" t="inlineStr">
        <is>
          <t>VÄSTRA GÖTALANDS LÄN</t>
        </is>
      </c>
      <c r="E125" t="inlineStr">
        <is>
          <t>VARA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60819-2023</t>
        </is>
      </c>
      <c r="B126" s="1" t="n">
        <v>45260</v>
      </c>
      <c r="C126" s="1" t="n">
        <v>46203</v>
      </c>
      <c r="D126" t="inlineStr">
        <is>
          <t>VÄSTRA GÖTALANDS LÄN</t>
        </is>
      </c>
      <c r="E126" t="inlineStr">
        <is>
          <t>VARA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20240-2023</t>
        </is>
      </c>
      <c r="B127" s="1" t="n">
        <v>45055</v>
      </c>
      <c r="C127" s="1" t="n">
        <v>46203</v>
      </c>
      <c r="D127" t="inlineStr">
        <is>
          <t>VÄSTRA GÖTALANDS LÄN</t>
        </is>
      </c>
      <c r="E127" t="inlineStr">
        <is>
          <t>VARA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4812-2025</t>
        </is>
      </c>
      <c r="B128" s="1" t="n">
        <v>45688</v>
      </c>
      <c r="C128" s="1" t="n">
        <v>46203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9215-2024</t>
        </is>
      </c>
      <c r="B129" s="1" t="n">
        <v>45358</v>
      </c>
      <c r="C129" s="1" t="n">
        <v>46203</v>
      </c>
      <c r="D129" t="inlineStr">
        <is>
          <t>VÄSTRA GÖTALANDS LÄN</t>
        </is>
      </c>
      <c r="E129" t="inlineStr">
        <is>
          <t>VARA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8678-2026</t>
        </is>
      </c>
      <c r="B130" s="1" t="n">
        <v>46066</v>
      </c>
      <c r="C130" s="1" t="n">
        <v>46203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Kyrkan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12007-2025</t>
        </is>
      </c>
      <c r="B131" s="1" t="n">
        <v>45728</v>
      </c>
      <c r="C131" s="1" t="n">
        <v>46203</v>
      </c>
      <c r="D131" t="inlineStr">
        <is>
          <t>VÄSTRA GÖTALANDS LÄN</t>
        </is>
      </c>
      <c r="E131" t="inlineStr">
        <is>
          <t>VARA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49391-2024</t>
        </is>
      </c>
      <c r="B132" s="1" t="n">
        <v>45595</v>
      </c>
      <c r="C132" s="1" t="n">
        <v>46203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8949-2026</t>
        </is>
      </c>
      <c r="B133" s="1" t="n">
        <v>46069</v>
      </c>
      <c r="C133" s="1" t="n">
        <v>46203</v>
      </c>
      <c r="D133" t="inlineStr">
        <is>
          <t>VÄSTRA GÖTALANDS LÄN</t>
        </is>
      </c>
      <c r="E133" t="inlineStr">
        <is>
          <t>VARA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9881-2026</t>
        </is>
      </c>
      <c r="B134" s="1" t="n">
        <v>46073</v>
      </c>
      <c r="C134" s="1" t="n">
        <v>46203</v>
      </c>
      <c r="D134" t="inlineStr">
        <is>
          <t>VÄSTRA GÖTALANDS LÄN</t>
        </is>
      </c>
      <c r="E134" t="inlineStr">
        <is>
          <t>VARA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9919-2026</t>
        </is>
      </c>
      <c r="B135" s="1" t="n">
        <v>46073</v>
      </c>
      <c r="C135" s="1" t="n">
        <v>46203</v>
      </c>
      <c r="D135" t="inlineStr">
        <is>
          <t>VÄSTRA GÖTALANDS LÄN</t>
        </is>
      </c>
      <c r="E135" t="inlineStr">
        <is>
          <t>VARA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9923-2026</t>
        </is>
      </c>
      <c r="B136" s="1" t="n">
        <v>46073</v>
      </c>
      <c r="C136" s="1" t="n">
        <v>46203</v>
      </c>
      <c r="D136" t="inlineStr">
        <is>
          <t>VÄSTRA GÖTALANDS LÄN</t>
        </is>
      </c>
      <c r="E136" t="inlineStr">
        <is>
          <t>VARA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9925-2026</t>
        </is>
      </c>
      <c r="B137" s="1" t="n">
        <v>46073</v>
      </c>
      <c r="C137" s="1" t="n">
        <v>46203</v>
      </c>
      <c r="D137" t="inlineStr">
        <is>
          <t>VÄSTRA GÖTALANDS LÄN</t>
        </is>
      </c>
      <c r="E137" t="inlineStr">
        <is>
          <t>VARA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9928-2026</t>
        </is>
      </c>
      <c r="B138" s="1" t="n">
        <v>46073</v>
      </c>
      <c r="C138" s="1" t="n">
        <v>46203</v>
      </c>
      <c r="D138" t="inlineStr">
        <is>
          <t>VÄSTRA GÖTALANDS LÄN</t>
        </is>
      </c>
      <c r="E138" t="inlineStr">
        <is>
          <t>VARA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10966-2026</t>
        </is>
      </c>
      <c r="B139" s="1" t="n">
        <v>46079</v>
      </c>
      <c r="C139" s="1" t="n">
        <v>46203</v>
      </c>
      <c r="D139" t="inlineStr">
        <is>
          <t>VÄSTRA GÖTALANDS LÄN</t>
        </is>
      </c>
      <c r="E139" t="inlineStr">
        <is>
          <t>VARA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50812-2023</t>
        </is>
      </c>
      <c r="B140" s="1" t="n">
        <v>45217</v>
      </c>
      <c r="C140" s="1" t="n">
        <v>46203</v>
      </c>
      <c r="D140" t="inlineStr">
        <is>
          <t>VÄSTRA GÖTALANDS LÄN</t>
        </is>
      </c>
      <c r="E140" t="inlineStr">
        <is>
          <t>VARA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43624-2024</t>
        </is>
      </c>
      <c r="B141" s="1" t="n">
        <v>45569</v>
      </c>
      <c r="C141" s="1" t="n">
        <v>46203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12700-2026</t>
        </is>
      </c>
      <c r="B142" s="1" t="n">
        <v>46091</v>
      </c>
      <c r="C142" s="1" t="n">
        <v>46203</v>
      </c>
      <c r="D142" t="inlineStr">
        <is>
          <t>VÄSTRA GÖTALANDS LÄN</t>
        </is>
      </c>
      <c r="E142" t="inlineStr">
        <is>
          <t>VARA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20196-2024</t>
        </is>
      </c>
      <c r="B143" s="1" t="n">
        <v>45434</v>
      </c>
      <c r="C143" s="1" t="n">
        <v>46203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13710-2026</t>
        </is>
      </c>
      <c r="B144" s="1" t="n">
        <v>46097</v>
      </c>
      <c r="C144" s="1" t="n">
        <v>46203</v>
      </c>
      <c r="D144" t="inlineStr">
        <is>
          <t>VÄSTRA GÖTALANDS LÄN</t>
        </is>
      </c>
      <c r="E144" t="inlineStr">
        <is>
          <t>VARA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1980-2024</t>
        </is>
      </c>
      <c r="B145" s="1" t="n">
        <v>45308</v>
      </c>
      <c r="C145" s="1" t="n">
        <v>46203</v>
      </c>
      <c r="D145" t="inlineStr">
        <is>
          <t>VÄSTRA GÖTALANDS LÄN</t>
        </is>
      </c>
      <c r="E145" t="inlineStr">
        <is>
          <t>VARA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7655-2024</t>
        </is>
      </c>
      <c r="B146" s="1" t="n">
        <v>45348</v>
      </c>
      <c r="C146" s="1" t="n">
        <v>46203</v>
      </c>
      <c r="D146" t="inlineStr">
        <is>
          <t>VÄSTRA GÖTALANDS LÄN</t>
        </is>
      </c>
      <c r="E146" t="inlineStr">
        <is>
          <t>VARA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20536-2022</t>
        </is>
      </c>
      <c r="B147" s="1" t="n">
        <v>44700</v>
      </c>
      <c r="C147" s="1" t="n">
        <v>46203</v>
      </c>
      <c r="D147" t="inlineStr">
        <is>
          <t>VÄSTRA GÖTALANDS LÄN</t>
        </is>
      </c>
      <c r="E147" t="inlineStr">
        <is>
          <t>VARA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56456-2022</t>
        </is>
      </c>
      <c r="B148" s="1" t="n">
        <v>44893</v>
      </c>
      <c r="C148" s="1" t="n">
        <v>46203</v>
      </c>
      <c r="D148" t="inlineStr">
        <is>
          <t>VÄSTRA GÖTALANDS LÄN</t>
        </is>
      </c>
      <c r="E148" t="inlineStr">
        <is>
          <t>VARA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55667-2024</t>
        </is>
      </c>
      <c r="B149" s="1" t="n">
        <v>45622</v>
      </c>
      <c r="C149" s="1" t="n">
        <v>46203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962-2023</t>
        </is>
      </c>
      <c r="B150" s="1" t="n">
        <v>44934</v>
      </c>
      <c r="C150" s="1" t="n">
        <v>46203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60543-2024</t>
        </is>
      </c>
      <c r="B151" s="1" t="n">
        <v>45643</v>
      </c>
      <c r="C151" s="1" t="n">
        <v>46203</v>
      </c>
      <c r="D151" t="inlineStr">
        <is>
          <t>VÄSTRA GÖTALANDS LÄN</t>
        </is>
      </c>
      <c r="E151" t="inlineStr">
        <is>
          <t>VARA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50673-2024</t>
        </is>
      </c>
      <c r="B152" s="1" t="n">
        <v>45601</v>
      </c>
      <c r="C152" s="1" t="n">
        <v>46203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7851-2023</t>
        </is>
      </c>
      <c r="B153" s="1" t="n">
        <v>44973</v>
      </c>
      <c r="C153" s="1" t="n">
        <v>46203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16754-2026</t>
        </is>
      </c>
      <c r="B154" s="1" t="n">
        <v>46113</v>
      </c>
      <c r="C154" s="1" t="n">
        <v>46203</v>
      </c>
      <c r="D154" t="inlineStr">
        <is>
          <t>VÄSTRA GÖTALANDS LÄN</t>
        </is>
      </c>
      <c r="E154" t="inlineStr">
        <is>
          <t>VARA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35042-2023</t>
        </is>
      </c>
      <c r="B155" s="1" t="n">
        <v>45142</v>
      </c>
      <c r="C155" s="1" t="n">
        <v>46203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33300-2023</t>
        </is>
      </c>
      <c r="B156" s="1" t="n">
        <v>45116</v>
      </c>
      <c r="C156" s="1" t="n">
        <v>46203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33301-2023</t>
        </is>
      </c>
      <c r="B157" s="1" t="n">
        <v>45116</v>
      </c>
      <c r="C157" s="1" t="n">
        <v>46203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61269-2024</t>
        </is>
      </c>
      <c r="B158" s="1" t="n">
        <v>45645</v>
      </c>
      <c r="C158" s="1" t="n">
        <v>46203</v>
      </c>
      <c r="D158" t="inlineStr">
        <is>
          <t>VÄSTRA GÖTALANDS LÄN</t>
        </is>
      </c>
      <c r="E158" t="inlineStr">
        <is>
          <t>VARA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43615-2024</t>
        </is>
      </c>
      <c r="B159" s="1" t="n">
        <v>45569</v>
      </c>
      <c r="C159" s="1" t="n">
        <v>46203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44947-2024</t>
        </is>
      </c>
      <c r="B160" s="1" t="n">
        <v>45575</v>
      </c>
      <c r="C160" s="1" t="n">
        <v>46203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31260-2022</t>
        </is>
      </c>
      <c r="B161" s="1" t="n">
        <v>44771</v>
      </c>
      <c r="C161" s="1" t="n">
        <v>46203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12938-2022</t>
        </is>
      </c>
      <c r="B162" s="1" t="n">
        <v>44642</v>
      </c>
      <c r="C162" s="1" t="n">
        <v>46203</v>
      </c>
      <c r="D162" t="inlineStr">
        <is>
          <t>VÄSTRA GÖTALANDS LÄN</t>
        </is>
      </c>
      <c r="E162" t="inlineStr">
        <is>
          <t>VARA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24715-2026</t>
        </is>
      </c>
      <c r="B163" s="1" t="n">
        <v>46171</v>
      </c>
      <c r="C163" s="1" t="n">
        <v>46203</v>
      </c>
      <c r="D163" t="inlineStr">
        <is>
          <t>VÄSTRA GÖTALANDS LÄN</t>
        </is>
      </c>
      <c r="E163" t="inlineStr">
        <is>
          <t>VARA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6517-2022</t>
        </is>
      </c>
      <c r="B164" s="1" t="n">
        <v>44601</v>
      </c>
      <c r="C164" s="1" t="n">
        <v>46203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579-2024</t>
        </is>
      </c>
      <c r="B165" s="1" t="n">
        <v>45299</v>
      </c>
      <c r="C165" s="1" t="n">
        <v>46203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38920-2022</t>
        </is>
      </c>
      <c r="B166" s="1" t="n">
        <v>44816</v>
      </c>
      <c r="C166" s="1" t="n">
        <v>46203</v>
      </c>
      <c r="D166" t="inlineStr">
        <is>
          <t>VÄSTRA GÖTALANDS LÄN</t>
        </is>
      </c>
      <c r="E166" t="inlineStr">
        <is>
          <t>VARA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9380-2025</t>
        </is>
      </c>
      <c r="B167" s="1" t="n">
        <v>45715</v>
      </c>
      <c r="C167" s="1" t="n">
        <v>46203</v>
      </c>
      <c r="D167" t="inlineStr">
        <is>
          <t>VÄSTRA GÖTALANDS LÄN</t>
        </is>
      </c>
      <c r="E167" t="inlineStr">
        <is>
          <t>VARA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20022-2026</t>
        </is>
      </c>
      <c r="B168" s="1" t="n">
        <v>46136</v>
      </c>
      <c r="C168" s="1" t="n">
        <v>46203</v>
      </c>
      <c r="D168" t="inlineStr">
        <is>
          <t>VÄSTRA GÖTALANDS LÄN</t>
        </is>
      </c>
      <c r="E168" t="inlineStr">
        <is>
          <t>VARA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31967-2024</t>
        </is>
      </c>
      <c r="B169" s="1" t="n">
        <v>45510</v>
      </c>
      <c r="C169" s="1" t="n">
        <v>46203</v>
      </c>
      <c r="D169" t="inlineStr">
        <is>
          <t>VÄSTRA GÖTALANDS LÄN</t>
        </is>
      </c>
      <c r="E169" t="inlineStr">
        <is>
          <t>VARA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59314-2024</t>
        </is>
      </c>
      <c r="B170" s="1" t="n">
        <v>45637</v>
      </c>
      <c r="C170" s="1" t="n">
        <v>46203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4622-2025</t>
        </is>
      </c>
      <c r="B171" s="1" t="n">
        <v>45687</v>
      </c>
      <c r="C171" s="1" t="n">
        <v>46203</v>
      </c>
      <c r="D171" t="inlineStr">
        <is>
          <t>VÄSTRA GÖTALANDS LÄN</t>
        </is>
      </c>
      <c r="E171" t="inlineStr">
        <is>
          <t>VARA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51421-2021</t>
        </is>
      </c>
      <c r="B172" s="1" t="n">
        <v>44461</v>
      </c>
      <c r="C172" s="1" t="n">
        <v>46203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51421-2021</t>
        </is>
      </c>
      <c r="B173" s="1" t="n">
        <v>44461</v>
      </c>
      <c r="C173" s="1" t="n">
        <v>46203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47332-2023</t>
        </is>
      </c>
      <c r="B174" s="1" t="n">
        <v>45202</v>
      </c>
      <c r="C174" s="1" t="n">
        <v>46203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49863-2025</t>
        </is>
      </c>
      <c r="B175" s="1" t="n">
        <v>45940</v>
      </c>
      <c r="C175" s="1" t="n">
        <v>46203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40331-2022</t>
        </is>
      </c>
      <c r="B176" s="1" t="n">
        <v>44823</v>
      </c>
      <c r="C176" s="1" t="n">
        <v>46203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18836-2026</t>
        </is>
      </c>
      <c r="B177" s="1" t="n">
        <v>46129</v>
      </c>
      <c r="C177" s="1" t="n">
        <v>46203</v>
      </c>
      <c r="D177" t="inlineStr">
        <is>
          <t>VÄSTRA GÖTALANDS LÄN</t>
        </is>
      </c>
      <c r="E177" t="inlineStr">
        <is>
          <t>VARA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2452-2022</t>
        </is>
      </c>
      <c r="B178" s="1" t="n">
        <v>44579</v>
      </c>
      <c r="C178" s="1" t="n">
        <v>46203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20911-2025</t>
        </is>
      </c>
      <c r="B179" s="1" t="n">
        <v>45777</v>
      </c>
      <c r="C179" s="1" t="n">
        <v>46203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25827-2026</t>
        </is>
      </c>
      <c r="B180" s="1" t="n">
        <v>46178</v>
      </c>
      <c r="C180" s="1" t="n">
        <v>46203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41690-2023</t>
        </is>
      </c>
      <c r="B181" s="1" t="n">
        <v>45176</v>
      </c>
      <c r="C181" s="1" t="n">
        <v>46203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27980-2026</t>
        </is>
      </c>
      <c r="B182" s="1" t="n">
        <v>46195</v>
      </c>
      <c r="C182" s="1" t="n">
        <v>46203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28195-2026</t>
        </is>
      </c>
      <c r="B183" s="1" t="n">
        <v>46196</v>
      </c>
      <c r="C183" s="1" t="n">
        <v>46203</v>
      </c>
      <c r="D183" t="inlineStr">
        <is>
          <t>VÄSTRA GÖTALANDS LÄN</t>
        </is>
      </c>
      <c r="E183" t="inlineStr">
        <is>
          <t>VARA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54997-2025</t>
        </is>
      </c>
      <c r="B184" s="1" t="n">
        <v>45967</v>
      </c>
      <c r="C184" s="1" t="n">
        <v>46203</v>
      </c>
      <c r="D184" t="inlineStr">
        <is>
          <t>VÄSTRA GÖTALANDS LÄN</t>
        </is>
      </c>
      <c r="E184" t="inlineStr">
        <is>
          <t>VARA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28706-2026</t>
        </is>
      </c>
      <c r="B185" s="1" t="n">
        <v>46198</v>
      </c>
      <c r="C185" s="1" t="n">
        <v>46203</v>
      </c>
      <c r="D185" t="inlineStr">
        <is>
          <t>VÄSTRA GÖTALANDS LÄN</t>
        </is>
      </c>
      <c r="E185" t="inlineStr">
        <is>
          <t>VARA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28524-2026</t>
        </is>
      </c>
      <c r="B186" s="1" t="n">
        <v>46197</v>
      </c>
      <c r="C186" s="1" t="n">
        <v>46203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59335-2023</t>
        </is>
      </c>
      <c r="B187" s="1" t="n">
        <v>45253</v>
      </c>
      <c r="C187" s="1" t="n">
        <v>46203</v>
      </c>
      <c r="D187" t="inlineStr">
        <is>
          <t>VÄSTRA GÖTALANDS LÄN</t>
        </is>
      </c>
      <c r="E187" t="inlineStr">
        <is>
          <t>VARA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27845-2023</t>
        </is>
      </c>
      <c r="B188" s="1" t="n">
        <v>45098</v>
      </c>
      <c r="C188" s="1" t="n">
        <v>46203</v>
      </c>
      <c r="D188" t="inlineStr">
        <is>
          <t>VÄSTRA GÖTALANDS LÄN</t>
        </is>
      </c>
      <c r="E188" t="inlineStr">
        <is>
          <t>VARA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41281-2025</t>
        </is>
      </c>
      <c r="B189" s="1" t="n">
        <v>45898</v>
      </c>
      <c r="C189" s="1" t="n">
        <v>46203</v>
      </c>
      <c r="D189" t="inlineStr">
        <is>
          <t>VÄSTRA GÖTALANDS LÄN</t>
        </is>
      </c>
      <c r="E189" t="inlineStr">
        <is>
          <t>VARA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18224-2022</t>
        </is>
      </c>
      <c r="B190" s="1" t="n">
        <v>44685</v>
      </c>
      <c r="C190" s="1" t="n">
        <v>46203</v>
      </c>
      <c r="D190" t="inlineStr">
        <is>
          <t>VÄSTRA GÖTALANDS LÄN</t>
        </is>
      </c>
      <c r="E190" t="inlineStr">
        <is>
          <t>VARA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18244-2022</t>
        </is>
      </c>
      <c r="B191" s="1" t="n">
        <v>44685</v>
      </c>
      <c r="C191" s="1" t="n">
        <v>46203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12026-2024</t>
        </is>
      </c>
      <c r="B192" s="1" t="n">
        <v>45377</v>
      </c>
      <c r="C192" s="1" t="n">
        <v>46203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59786-2022</t>
        </is>
      </c>
      <c r="B193" s="1" t="n">
        <v>44900</v>
      </c>
      <c r="C193" s="1" t="n">
        <v>46203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42486-2021</t>
        </is>
      </c>
      <c r="B194" s="1" t="n">
        <v>44427</v>
      </c>
      <c r="C194" s="1" t="n">
        <v>46203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37726-2024</t>
        </is>
      </c>
      <c r="B195" s="1" t="n">
        <v>45541</v>
      </c>
      <c r="C195" s="1" t="n">
        <v>46203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28168-2026</t>
        </is>
      </c>
      <c r="B196" s="1" t="n">
        <v>46195</v>
      </c>
      <c r="C196" s="1" t="n">
        <v>46203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22721-2026</t>
        </is>
      </c>
      <c r="B197" s="1" t="n">
        <v>46157</v>
      </c>
      <c r="C197" s="1" t="n">
        <v>46203</v>
      </c>
      <c r="D197" t="inlineStr">
        <is>
          <t>VÄSTRA GÖTALANDS LÄN</t>
        </is>
      </c>
      <c r="E197" t="inlineStr">
        <is>
          <t>VARA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14116-2025</t>
        </is>
      </c>
      <c r="B198" s="1" t="n">
        <v>45740</v>
      </c>
      <c r="C198" s="1" t="n">
        <v>46203</v>
      </c>
      <c r="D198" t="inlineStr">
        <is>
          <t>VÄSTRA GÖTALANDS LÄN</t>
        </is>
      </c>
      <c r="E198" t="inlineStr">
        <is>
          <t>VARA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52778-2022</t>
        </is>
      </c>
      <c r="B199" s="1" t="n">
        <v>44875</v>
      </c>
      <c r="C199" s="1" t="n">
        <v>46203</v>
      </c>
      <c r="D199" t="inlineStr">
        <is>
          <t>VÄSTRA GÖTALANDS LÄN</t>
        </is>
      </c>
      <c r="E199" t="inlineStr">
        <is>
          <t>VARA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35056-2023</t>
        </is>
      </c>
      <c r="B200" s="1" t="n">
        <v>45142</v>
      </c>
      <c r="C200" s="1" t="n">
        <v>46203</v>
      </c>
      <c r="D200" t="inlineStr">
        <is>
          <t>VÄSTRA GÖTALANDS LÄN</t>
        </is>
      </c>
      <c r="E200" t="inlineStr">
        <is>
          <t>VARA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59946-2022</t>
        </is>
      </c>
      <c r="B201" s="1" t="n">
        <v>44909</v>
      </c>
      <c r="C201" s="1" t="n">
        <v>46203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73168-2021</t>
        </is>
      </c>
      <c r="B202" s="1" t="n">
        <v>44550</v>
      </c>
      <c r="C202" s="1" t="n">
        <v>46203</v>
      </c>
      <c r="D202" t="inlineStr">
        <is>
          <t>VÄSTRA GÖTALANDS LÄN</t>
        </is>
      </c>
      <c r="E202" t="inlineStr">
        <is>
          <t>VARA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45303-2024</t>
        </is>
      </c>
      <c r="B203" s="1" t="n">
        <v>45576</v>
      </c>
      <c r="C203" s="1" t="n">
        <v>46203</v>
      </c>
      <c r="D203" t="inlineStr">
        <is>
          <t>VÄSTRA GÖTALANDS LÄN</t>
        </is>
      </c>
      <c r="E203" t="inlineStr">
        <is>
          <t>VARA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61737-2023</t>
        </is>
      </c>
      <c r="B204" s="1" t="n">
        <v>45265</v>
      </c>
      <c r="C204" s="1" t="n">
        <v>46203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6453-2024</t>
        </is>
      </c>
      <c r="B205" s="1" t="n">
        <v>45338</v>
      </c>
      <c r="C205" s="1" t="n">
        <v>46203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56654-2023</t>
        </is>
      </c>
      <c r="B206" s="1" t="n">
        <v>45243</v>
      </c>
      <c r="C206" s="1" t="n">
        <v>46203</v>
      </c>
      <c r="D206" t="inlineStr">
        <is>
          <t>VÄSTRA GÖTALANDS LÄN</t>
        </is>
      </c>
      <c r="E206" t="inlineStr">
        <is>
          <t>VARA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7238-2024</t>
        </is>
      </c>
      <c r="B207" s="1" t="n">
        <v>45344</v>
      </c>
      <c r="C207" s="1" t="n">
        <v>46203</v>
      </c>
      <c r="D207" t="inlineStr">
        <is>
          <t>VÄSTRA GÖTALANDS LÄN</t>
        </is>
      </c>
      <c r="E207" t="inlineStr">
        <is>
          <t>VARA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28851-2024</t>
        </is>
      </c>
      <c r="B208" s="1" t="n">
        <v>45478</v>
      </c>
      <c r="C208" s="1" t="n">
        <v>46203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42427-2023</t>
        </is>
      </c>
      <c r="B209" s="1" t="n">
        <v>45180</v>
      </c>
      <c r="C209" s="1" t="n">
        <v>46203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13194-2022</t>
        </is>
      </c>
      <c r="B210" s="1" t="n">
        <v>44644</v>
      </c>
      <c r="C210" s="1" t="n">
        <v>46203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20439-2024</t>
        </is>
      </c>
      <c r="B211" s="1" t="n">
        <v>45435</v>
      </c>
      <c r="C211" s="1" t="n">
        <v>46203</v>
      </c>
      <c r="D211" t="inlineStr">
        <is>
          <t>VÄSTRA GÖTALANDS LÄN</t>
        </is>
      </c>
      <c r="E211" t="inlineStr">
        <is>
          <t>VARA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49736-2024</t>
        </is>
      </c>
      <c r="B212" s="1" t="n">
        <v>45596</v>
      </c>
      <c r="C212" s="1" t="n">
        <v>46203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55356-2024</t>
        </is>
      </c>
      <c r="B213" s="1" t="n">
        <v>45621</v>
      </c>
      <c r="C213" s="1" t="n">
        <v>46203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37917-2023</t>
        </is>
      </c>
      <c r="B214" s="1" t="n">
        <v>45160</v>
      </c>
      <c r="C214" s="1" t="n">
        <v>46203</v>
      </c>
      <c r="D214" t="inlineStr">
        <is>
          <t>VÄSTRA GÖTALANDS LÄN</t>
        </is>
      </c>
      <c r="E214" t="inlineStr">
        <is>
          <t>VARA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46137-2023</t>
        </is>
      </c>
      <c r="B215" s="1" t="n">
        <v>45196</v>
      </c>
      <c r="C215" s="1" t="n">
        <v>46203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9218-2024</t>
        </is>
      </c>
      <c r="B216" s="1" t="n">
        <v>45358</v>
      </c>
      <c r="C216" s="1" t="n">
        <v>46203</v>
      </c>
      <c r="D216" t="inlineStr">
        <is>
          <t>VÄSTRA GÖTALANDS LÄN</t>
        </is>
      </c>
      <c r="E216" t="inlineStr">
        <is>
          <t>VARA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365-2022</t>
        </is>
      </c>
      <c r="B217" s="1" t="n">
        <v>44565</v>
      </c>
      <c r="C217" s="1" t="n">
        <v>46203</v>
      </c>
      <c r="D217" t="inlineStr">
        <is>
          <t>VÄSTRA GÖTALANDS LÄN</t>
        </is>
      </c>
      <c r="E217" t="inlineStr">
        <is>
          <t>VARA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50909-2023</t>
        </is>
      </c>
      <c r="B218" s="1" t="n">
        <v>45218</v>
      </c>
      <c r="C218" s="1" t="n">
        <v>46203</v>
      </c>
      <c r="D218" t="inlineStr">
        <is>
          <t>VÄSTRA GÖTALANDS LÄN</t>
        </is>
      </c>
      <c r="E218" t="inlineStr">
        <is>
          <t>VARA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57303-2024</t>
        </is>
      </c>
      <c r="B219" s="1" t="n">
        <v>45629</v>
      </c>
      <c r="C219" s="1" t="n">
        <v>46203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52918-2023</t>
        </is>
      </c>
      <c r="B220" s="1" t="n">
        <v>45226</v>
      </c>
      <c r="C220" s="1" t="n">
        <v>46203</v>
      </c>
      <c r="D220" t="inlineStr">
        <is>
          <t>VÄSTRA GÖTALANDS LÄN</t>
        </is>
      </c>
      <c r="E220" t="inlineStr">
        <is>
          <t>VARA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57420-2024</t>
        </is>
      </c>
      <c r="B221" s="1" t="n">
        <v>45629</v>
      </c>
      <c r="C221" s="1" t="n">
        <v>46203</v>
      </c>
      <c r="D221" t="inlineStr">
        <is>
          <t>VÄSTRA GÖTALANDS LÄN</t>
        </is>
      </c>
      <c r="E221" t="inlineStr">
        <is>
          <t>VARA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12333-2022</t>
        </is>
      </c>
      <c r="B222" s="1" t="n">
        <v>44637</v>
      </c>
      <c r="C222" s="1" t="n">
        <v>46203</v>
      </c>
      <c r="D222" t="inlineStr">
        <is>
          <t>VÄSTRA GÖTALANDS LÄN</t>
        </is>
      </c>
      <c r="E222" t="inlineStr">
        <is>
          <t>VARA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54201-2023</t>
        </is>
      </c>
      <c r="B223" s="1" t="n">
        <v>45232</v>
      </c>
      <c r="C223" s="1" t="n">
        <v>46203</v>
      </c>
      <c r="D223" t="inlineStr">
        <is>
          <t>VÄSTRA GÖTALANDS LÄN</t>
        </is>
      </c>
      <c r="E223" t="inlineStr">
        <is>
          <t>VARA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12016-2025</t>
        </is>
      </c>
      <c r="B224" s="1" t="n">
        <v>45728</v>
      </c>
      <c r="C224" s="1" t="n">
        <v>46203</v>
      </c>
      <c r="D224" t="inlineStr">
        <is>
          <t>VÄSTRA GÖTALANDS LÄN</t>
        </is>
      </c>
      <c r="E224" t="inlineStr">
        <is>
          <t>VARA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17543-2025</t>
        </is>
      </c>
      <c r="B225" s="1" t="n">
        <v>45757</v>
      </c>
      <c r="C225" s="1" t="n">
        <v>46203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35035-2023</t>
        </is>
      </c>
      <c r="B226" s="1" t="n">
        <v>45142</v>
      </c>
      <c r="C226" s="1" t="n">
        <v>46203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63426-2023</t>
        </is>
      </c>
      <c r="B227" s="1" t="n">
        <v>45274</v>
      </c>
      <c r="C227" s="1" t="n">
        <v>46203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9108-2022</t>
        </is>
      </c>
      <c r="B228" s="1" t="n">
        <v>44615</v>
      </c>
      <c r="C228" s="1" t="n">
        <v>46203</v>
      </c>
      <c r="D228" t="inlineStr">
        <is>
          <t>VÄSTRA GÖTALANDS LÄN</t>
        </is>
      </c>
      <c r="E228" t="inlineStr">
        <is>
          <t>VARA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61738-2023</t>
        </is>
      </c>
      <c r="B229" s="1" t="n">
        <v>45265</v>
      </c>
      <c r="C229" s="1" t="n">
        <v>46203</v>
      </c>
      <c r="D229" t="inlineStr">
        <is>
          <t>VÄSTRA GÖTALANDS LÄN</t>
        </is>
      </c>
      <c r="E229" t="inlineStr">
        <is>
          <t>VARA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3522-2024</t>
        </is>
      </c>
      <c r="B230" s="1" t="n">
        <v>45320</v>
      </c>
      <c r="C230" s="1" t="n">
        <v>46203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61687-2023</t>
        </is>
      </c>
      <c r="B231" s="1" t="n">
        <v>45264</v>
      </c>
      <c r="C231" s="1" t="n">
        <v>46203</v>
      </c>
      <c r="D231" t="inlineStr">
        <is>
          <t>VÄSTRA GÖTALANDS LÄN</t>
        </is>
      </c>
      <c r="E231" t="inlineStr">
        <is>
          <t>VARA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57256-2022</t>
        </is>
      </c>
      <c r="B232" s="1" t="n">
        <v>44895</v>
      </c>
      <c r="C232" s="1" t="n">
        <v>46203</v>
      </c>
      <c r="D232" t="inlineStr">
        <is>
          <t>VÄSTRA GÖTALANDS LÄN</t>
        </is>
      </c>
      <c r="E232" t="inlineStr">
        <is>
          <t>VARA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57257-2022</t>
        </is>
      </c>
      <c r="B233" s="1" t="n">
        <v>44895</v>
      </c>
      <c r="C233" s="1" t="n">
        <v>46203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59266-2023</t>
        </is>
      </c>
      <c r="B234" s="1" t="n">
        <v>45253</v>
      </c>
      <c r="C234" s="1" t="n">
        <v>46203</v>
      </c>
      <c r="D234" t="inlineStr">
        <is>
          <t>VÄSTRA GÖTALANDS LÄN</t>
        </is>
      </c>
      <c r="E234" t="inlineStr">
        <is>
          <t>VARA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18691-2023</t>
        </is>
      </c>
      <c r="B235" s="1" t="n">
        <v>45043</v>
      </c>
      <c r="C235" s="1" t="n">
        <v>46203</v>
      </c>
      <c r="D235" t="inlineStr">
        <is>
          <t>VÄSTRA GÖTALANDS LÄN</t>
        </is>
      </c>
      <c r="E235" t="inlineStr">
        <is>
          <t>VARA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6977-2025</t>
        </is>
      </c>
      <c r="B236" s="1" t="n">
        <v>45701</v>
      </c>
      <c r="C236" s="1" t="n">
        <v>46203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57253-2022</t>
        </is>
      </c>
      <c r="B237" s="1" t="n">
        <v>44895</v>
      </c>
      <c r="C237" s="1" t="n">
        <v>46203</v>
      </c>
      <c r="D237" t="inlineStr">
        <is>
          <t>VÄSTRA GÖTALANDS LÄN</t>
        </is>
      </c>
      <c r="E237" t="inlineStr">
        <is>
          <t>VARA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42038-2024</t>
        </is>
      </c>
      <c r="B238" s="1" t="n">
        <v>45561</v>
      </c>
      <c r="C238" s="1" t="n">
        <v>46203</v>
      </c>
      <c r="D238" t="inlineStr">
        <is>
          <t>VÄSTRA GÖTALANDS LÄN</t>
        </is>
      </c>
      <c r="E238" t="inlineStr">
        <is>
          <t>VARA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35059-2023</t>
        </is>
      </c>
      <c r="B239" s="1" t="n">
        <v>45142</v>
      </c>
      <c r="C239" s="1" t="n">
        <v>46203</v>
      </c>
      <c r="D239" t="inlineStr">
        <is>
          <t>VÄSTRA GÖTALANDS LÄN</t>
        </is>
      </c>
      <c r="E239" t="inlineStr">
        <is>
          <t>VARA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50712-2021</t>
        </is>
      </c>
      <c r="B240" s="1" t="n">
        <v>44460</v>
      </c>
      <c r="C240" s="1" t="n">
        <v>46203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50713-2021</t>
        </is>
      </c>
      <c r="B241" s="1" t="n">
        <v>44460</v>
      </c>
      <c r="C241" s="1" t="n">
        <v>46203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59782-2022</t>
        </is>
      </c>
      <c r="B242" s="1" t="n">
        <v>44900</v>
      </c>
      <c r="C242" s="1" t="n">
        <v>46203</v>
      </c>
      <c r="D242" t="inlineStr">
        <is>
          <t>VÄSTRA GÖTALANDS LÄN</t>
        </is>
      </c>
      <c r="E242" t="inlineStr">
        <is>
          <t>VARA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1141-2023</t>
        </is>
      </c>
      <c r="B243" s="1" t="n">
        <v>44935</v>
      </c>
      <c r="C243" s="1" t="n">
        <v>46203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1152-2023</t>
        </is>
      </c>
      <c r="B244" s="1" t="n">
        <v>44935</v>
      </c>
      <c r="C244" s="1" t="n">
        <v>46203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71326-2021</t>
        </is>
      </c>
      <c r="B245" s="1" t="n">
        <v>44539</v>
      </c>
      <c r="C245" s="1" t="n">
        <v>46203</v>
      </c>
      <c r="D245" t="inlineStr">
        <is>
          <t>VÄSTRA GÖTALANDS LÄN</t>
        </is>
      </c>
      <c r="E245" t="inlineStr">
        <is>
          <t>VARA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46203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9013-2023</t>
        </is>
      </c>
      <c r="B247" s="1" t="n">
        <v>44979</v>
      </c>
      <c r="C247" s="1" t="n">
        <v>46203</v>
      </c>
      <c r="D247" t="inlineStr">
        <is>
          <t>VÄSTRA GÖTALANDS LÄN</t>
        </is>
      </c>
      <c r="E247" t="inlineStr">
        <is>
          <t>VARA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35608-2023</t>
        </is>
      </c>
      <c r="B248" s="1" t="n">
        <v>45146</v>
      </c>
      <c r="C248" s="1" t="n">
        <v>46203</v>
      </c>
      <c r="D248" t="inlineStr">
        <is>
          <t>VÄSTRA GÖTALANDS LÄN</t>
        </is>
      </c>
      <c r="E248" t="inlineStr">
        <is>
          <t>VARA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9413-2024</t>
        </is>
      </c>
      <c r="B249" s="1" t="n">
        <v>45359</v>
      </c>
      <c r="C249" s="1" t="n">
        <v>46203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9450-2024</t>
        </is>
      </c>
      <c r="B250" s="1" t="n">
        <v>45358</v>
      </c>
      <c r="C250" s="1" t="n">
        <v>46203</v>
      </c>
      <c r="D250" t="inlineStr">
        <is>
          <t>VÄSTRA GÖTALANDS LÄN</t>
        </is>
      </c>
      <c r="E250" t="inlineStr">
        <is>
          <t>VARA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53719-2023</t>
        </is>
      </c>
      <c r="B251" s="1" t="n">
        <v>45230</v>
      </c>
      <c r="C251" s="1" t="n">
        <v>46203</v>
      </c>
      <c r="D251" t="inlineStr">
        <is>
          <t>VÄSTRA GÖTALANDS LÄN</t>
        </is>
      </c>
      <c r="E251" t="inlineStr">
        <is>
          <t>VARA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13481-2023</t>
        </is>
      </c>
      <c r="B252" s="1" t="n">
        <v>45005</v>
      </c>
      <c r="C252" s="1" t="n">
        <v>46203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57759-2023</t>
        </is>
      </c>
      <c r="B253" s="1" t="n">
        <v>45246</v>
      </c>
      <c r="C253" s="1" t="n">
        <v>46203</v>
      </c>
      <c r="D253" t="inlineStr">
        <is>
          <t>VÄSTRA GÖTALANDS LÄN</t>
        </is>
      </c>
      <c r="E253" t="inlineStr">
        <is>
          <t>VARA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51467-2023</t>
        </is>
      </c>
      <c r="B254" s="1" t="n">
        <v>45221</v>
      </c>
      <c r="C254" s="1" t="n">
        <v>46203</v>
      </c>
      <c r="D254" t="inlineStr">
        <is>
          <t>VÄSTRA GÖTALANDS LÄN</t>
        </is>
      </c>
      <c r="E254" t="inlineStr">
        <is>
          <t>VARA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25764-2023</t>
        </is>
      </c>
      <c r="B255" s="1" t="n">
        <v>45090</v>
      </c>
      <c r="C255" s="1" t="n">
        <v>46203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20443-2024</t>
        </is>
      </c>
      <c r="B256" s="1" t="n">
        <v>45435</v>
      </c>
      <c r="C256" s="1" t="n">
        <v>46203</v>
      </c>
      <c r="D256" t="inlineStr">
        <is>
          <t>VÄSTRA GÖTALANDS LÄN</t>
        </is>
      </c>
      <c r="E256" t="inlineStr">
        <is>
          <t>VARA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55296-2023</t>
        </is>
      </c>
      <c r="B257" s="1" t="n">
        <v>45237</v>
      </c>
      <c r="C257" s="1" t="n">
        <v>46203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22901-2024</t>
        </is>
      </c>
      <c r="B258" s="1" t="n">
        <v>45448</v>
      </c>
      <c r="C258" s="1" t="n">
        <v>46203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20433-2024</t>
        </is>
      </c>
      <c r="B259" s="1" t="n">
        <v>45435</v>
      </c>
      <c r="C259" s="1" t="n">
        <v>46203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9216-2024</t>
        </is>
      </c>
      <c r="B260" s="1" t="n">
        <v>45358</v>
      </c>
      <c r="C260" s="1" t="n">
        <v>46203</v>
      </c>
      <c r="D260" t="inlineStr">
        <is>
          <t>VÄSTRA GÖTALANDS LÄN</t>
        </is>
      </c>
      <c r="E260" t="inlineStr">
        <is>
          <t>VARA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11589-2022</t>
        </is>
      </c>
      <c r="B261" s="1" t="n">
        <v>44631</v>
      </c>
      <c r="C261" s="1" t="n">
        <v>46203</v>
      </c>
      <c r="D261" t="inlineStr">
        <is>
          <t>VÄSTRA GÖTALANDS LÄN</t>
        </is>
      </c>
      <c r="E261" t="inlineStr">
        <is>
          <t>VARA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2680-2025</t>
        </is>
      </c>
      <c r="B262" s="1" t="n">
        <v>45677</v>
      </c>
      <c r="C262" s="1" t="n">
        <v>46203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56856-2024</t>
        </is>
      </c>
      <c r="B263" s="1" t="n">
        <v>45628</v>
      </c>
      <c r="C263" s="1" t="n">
        <v>46203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2781-2025</t>
        </is>
      </c>
      <c r="B264" s="1" t="n">
        <v>45677</v>
      </c>
      <c r="C264" s="1" t="n">
        <v>46203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61879-2023</t>
        </is>
      </c>
      <c r="B265" s="1" t="n">
        <v>45266</v>
      </c>
      <c r="C265" s="1" t="n">
        <v>46203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58514-2024</t>
        </is>
      </c>
      <c r="B266" s="1" t="n">
        <v>45635</v>
      </c>
      <c r="C266" s="1" t="n">
        <v>46203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13511-2024</t>
        </is>
      </c>
      <c r="B267" s="1" t="n">
        <v>45387</v>
      </c>
      <c r="C267" s="1" t="n">
        <v>46203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40224-2024</t>
        </is>
      </c>
      <c r="B268" s="1" t="n">
        <v>45554</v>
      </c>
      <c r="C268" s="1" t="n">
        <v>46203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43620-2024</t>
        </is>
      </c>
      <c r="B269" s="1" t="n">
        <v>45569</v>
      </c>
      <c r="C269" s="1" t="n">
        <v>46203</v>
      </c>
      <c r="D269" t="inlineStr">
        <is>
          <t>VÄSTRA GÖTALANDS LÄN</t>
        </is>
      </c>
      <c r="E269" t="inlineStr">
        <is>
          <t>VARA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10165-2025</t>
        </is>
      </c>
      <c r="B270" s="1" t="n">
        <v>45719</v>
      </c>
      <c r="C270" s="1" t="n">
        <v>46203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52237-2021</t>
        </is>
      </c>
      <c r="B271" s="1" t="n">
        <v>44463</v>
      </c>
      <c r="C271" s="1" t="n">
        <v>46203</v>
      </c>
      <c r="D271" t="inlineStr">
        <is>
          <t>VÄSTRA GÖTALANDS LÄN</t>
        </is>
      </c>
      <c r="E271" t="inlineStr">
        <is>
          <t>VARA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38160-2022</t>
        </is>
      </c>
      <c r="B272" s="1" t="n">
        <v>44812</v>
      </c>
      <c r="C272" s="1" t="n">
        <v>46203</v>
      </c>
      <c r="D272" t="inlineStr">
        <is>
          <t>VÄSTRA GÖTALANDS LÄN</t>
        </is>
      </c>
      <c r="E272" t="inlineStr">
        <is>
          <t>VARA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14593-2022</t>
        </is>
      </c>
      <c r="B273" s="1" t="n">
        <v>44655</v>
      </c>
      <c r="C273" s="1" t="n">
        <v>46203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6336-2022</t>
        </is>
      </c>
      <c r="B274" s="1" t="n">
        <v>44600</v>
      </c>
      <c r="C274" s="1" t="n">
        <v>46203</v>
      </c>
      <c r="D274" t="inlineStr">
        <is>
          <t>VÄSTRA GÖTALANDS LÄN</t>
        </is>
      </c>
      <c r="E274" t="inlineStr">
        <is>
          <t>VARA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43754-2022</t>
        </is>
      </c>
      <c r="B275" s="1" t="n">
        <v>44837</v>
      </c>
      <c r="C275" s="1" t="n">
        <v>46203</v>
      </c>
      <c r="D275" t="inlineStr">
        <is>
          <t>VÄSTRA GÖTALANDS LÄN</t>
        </is>
      </c>
      <c r="E275" t="inlineStr">
        <is>
          <t>VARA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2026-06-30T00:58:26Z</dcterms:created>
  <dcterms:modified xmlns:dcterms="http://purl.org/dc/terms/" xmlns:xsi="http://www.w3.org/2001/XMLSchema-instance" xsi:type="dcterms:W3CDTF">2026-06-30T00:58:26Z</dcterms:modified>
</cp:coreProperties>
</file>