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46221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s="2" t="inlineStr">
        <is>
          <t>Mattlummer</t>
        </is>
      </c>
      <c r="V2">
        <f>HYPERLINK("https://klasma.github.io/Logging_1470/artfynd/A 56164-2024 artfynd.xlsx", "A 56164-2024")</f>
        <v/>
      </c>
      <c r="W2">
        <f>HYPERLINK("https://klasma.github.io/Logging_1470/kartor/A 56164-2024 karta.png", "A 56164-2024")</f>
        <v/>
      </c>
      <c r="Y2">
        <f>HYPERLINK("https://klasma.github.io/Logging_1470/klagomål/A 56164-2024 FSC-klagomål.docx", "A 56164-2024")</f>
        <v/>
      </c>
      <c r="Z2">
        <f>HYPERLINK("https://klasma.github.io/Logging_1470/klagomålsmail/A 56164-2024 FSC-klagomål mail.docx", "A 56164-2024")</f>
        <v/>
      </c>
      <c r="AA2">
        <f>HYPERLINK("https://klasma.github.io/Logging_1470/tillsyn/A 56164-2024 tillsynsbegäran.docx", "A 56164-2024")</f>
        <v/>
      </c>
      <c r="AB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46221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Revlummer</t>
        </is>
      </c>
      <c r="V3">
        <f>HYPERLINK("https://klasma.github.io/Logging_1470/artfynd/A 54293-2023 artfynd.xlsx", "A 54293-2023")</f>
        <v/>
      </c>
      <c r="W3">
        <f>HYPERLINK("https://klasma.github.io/Logging_1470/kartor/A 54293-2023 karta.png", "A 54293-2023")</f>
        <v/>
      </c>
      <c r="Y3">
        <f>HYPERLINK("https://klasma.github.io/Logging_1470/klagomål/A 54293-2023 FSC-klagomål.docx", "A 54293-2023")</f>
        <v/>
      </c>
      <c r="Z3">
        <f>HYPERLINK("https://klasma.github.io/Logging_1470/klagomålsmail/A 54293-2023 FSC-klagomål mail.docx", "A 54293-2023")</f>
        <v/>
      </c>
      <c r="AA3">
        <f>HYPERLINK("https://klasma.github.io/Logging_1470/tillsyn/A 54293-2023 tillsynsbegäran.docx", "A 54293-2023")</f>
        <v/>
      </c>
      <c r="AB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46221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46221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46221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Härfågel</t>
        </is>
      </c>
      <c r="V6">
        <f>HYPERLINK("https://klasma.github.io/Logging_1470/artfynd/A 11270-2025 artfynd.xlsx", "A 11270-2025")</f>
        <v/>
      </c>
      <c r="W6">
        <f>HYPERLINK("https://klasma.github.io/Logging_1470/kartor/A 11270-2025 karta.png", "A 11270-2025")</f>
        <v/>
      </c>
      <c r="Y6">
        <f>HYPERLINK("https://klasma.github.io/Logging_1470/klagomål/A 11270-2025 FSC-klagomål.docx", "A 11270-2025")</f>
        <v/>
      </c>
      <c r="Z6">
        <f>HYPERLINK("https://klasma.github.io/Logging_1470/klagomålsmail/A 11270-2025 FSC-klagomål mail.docx", "A 11270-2025")</f>
        <v/>
      </c>
      <c r="AA6">
        <f>HYPERLINK("https://klasma.github.io/Logging_1470/tillsyn/A 11270-2025 tillsynsbegäran.docx", "A 11270-2025")</f>
        <v/>
      </c>
      <c r="AB6">
        <f>HYPERLINK("https://klasma.github.io/Logging_1470/tillsynsmail/A 11270-2025 tillsynsbegäran mail.docx", "A 11270-2025")</f>
        <v/>
      </c>
      <c r="AC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46221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46221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46221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46221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46221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46221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46221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46221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46221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46221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47901-2021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46221</v>
      </c>
      <c r="F18" t="inlineStr">
        <is>
          <t>VÄSTRA GÖTALANDS LÄN</t>
        </is>
      </c>
      <c r="G18" t="inlineStr">
        <is>
          <t>VARA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46221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46221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46221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46221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46221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46221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46221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46221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46221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46221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46221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46221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46221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46221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46221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46221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46221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46221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46221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46221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46221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46221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46221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46221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46221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46221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46221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46221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46221</v>
      </c>
      <c r="F47" t="inlineStr">
        <is>
          <t>VÄSTRA GÖTALANDS LÄN</t>
        </is>
      </c>
      <c r="G47" t="inlineStr">
        <is>
          <t>VARA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45267</v>
      </c>
      <c r="E48" s="1" t="n">
        <v>46221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44867</v>
      </c>
      <c r="E49" s="1" t="n">
        <v>46221</v>
      </c>
      <c r="F49" t="inlineStr">
        <is>
          <t>VÄSTRA GÖTALANDS LÄN</t>
        </is>
      </c>
      <c r="G49" t="inlineStr">
        <is>
          <t>VARA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9411-2024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46221</v>
      </c>
      <c r="F50" t="inlineStr">
        <is>
          <t>VÄSTRA GÖTALANDS LÄN</t>
        </is>
      </c>
      <c r="G50" t="inlineStr">
        <is>
          <t>VARA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46221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46221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46221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46221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46221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46221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46221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46221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46221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46221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23065-2024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46221</v>
      </c>
      <c r="F61" t="inlineStr">
        <is>
          <t>VÄSTRA GÖTALANDS LÄN</t>
        </is>
      </c>
      <c r="G61" t="inlineStr">
        <is>
          <t>VARA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46221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49820-2022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46221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10728-2023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44988</v>
      </c>
      <c r="E64" s="1" t="n">
        <v>46221</v>
      </c>
      <c r="F64" t="inlineStr">
        <is>
          <t>VÄSTRA GÖTALANDS LÄN</t>
        </is>
      </c>
      <c r="G64" t="inlineStr">
        <is>
          <t>VARA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45435</v>
      </c>
      <c r="E65" s="1" t="n">
        <v>46221</v>
      </c>
      <c r="F65" t="inlineStr">
        <is>
          <t>VÄSTRA GÖTALANDS LÄN</t>
        </is>
      </c>
      <c r="G65" t="inlineStr">
        <is>
          <t>VARA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57313-2024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46221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57295-2024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46221</v>
      </c>
      <c r="F67" t="inlineStr">
        <is>
          <t>VÄSTRA GÖTALANDS LÄN</t>
        </is>
      </c>
      <c r="G67" t="inlineStr">
        <is>
          <t>VARA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27819-2024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46221</v>
      </c>
      <c r="F68" t="inlineStr">
        <is>
          <t>VÄSTRA GÖTALANDS LÄN</t>
        </is>
      </c>
      <c r="G68" t="inlineStr">
        <is>
          <t>VARA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46221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27856-2024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45475</v>
      </c>
      <c r="E70" s="1" t="n">
        <v>46221</v>
      </c>
      <c r="F70" t="inlineStr">
        <is>
          <t>VÄSTRA GÖTALANDS LÄN</t>
        </is>
      </c>
      <c r="G70" t="inlineStr">
        <is>
          <t>VARA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9404-2022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46221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46221</v>
      </c>
      <c r="F72" t="inlineStr">
        <is>
          <t>VÄSTRA GÖTALANDS LÄN</t>
        </is>
      </c>
      <c r="G72" t="inlineStr">
        <is>
          <t>VARA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46221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59527-2024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46221</v>
      </c>
      <c r="F74" t="inlineStr">
        <is>
          <t>VÄSTRA GÖTALANDS LÄN</t>
        </is>
      </c>
      <c r="G74" t="inlineStr">
        <is>
          <t>VARA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12009-2025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45728</v>
      </c>
      <c r="E75" s="1" t="n">
        <v>46221</v>
      </c>
      <c r="F75" t="inlineStr">
        <is>
          <t>VÄSTRA GÖTALANDS LÄN</t>
        </is>
      </c>
      <c r="G75" t="inlineStr">
        <is>
          <t>VARA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46221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46221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46221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46221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46221</v>
      </c>
      <c r="F80" t="inlineStr">
        <is>
          <t>VÄSTRA GÖTALANDS LÄN</t>
        </is>
      </c>
      <c r="G80" t="inlineStr">
        <is>
          <t>VARA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9215-2024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45358</v>
      </c>
      <c r="E81" s="1" t="n">
        <v>46221</v>
      </c>
      <c r="F81" t="inlineStr">
        <is>
          <t>VÄSTRA GÖTALANDS LÄN</t>
        </is>
      </c>
      <c r="G81" t="inlineStr">
        <is>
          <t>VARA</t>
        </is>
      </c>
      <c r="I81" t="n">
        <v>12.2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46221</v>
      </c>
      <c r="F82" t="inlineStr">
        <is>
          <t>VÄSTRA GÖTALANDS LÄN</t>
        </is>
      </c>
      <c r="G82" t="inlineStr">
        <is>
          <t>VARA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49391-2024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45595</v>
      </c>
      <c r="E83" s="1" t="n">
        <v>46221</v>
      </c>
      <c r="F83" t="inlineStr">
        <is>
          <t>VÄSTRA GÖTALANDS LÄN</t>
        </is>
      </c>
      <c r="G83" t="inlineStr">
        <is>
          <t>VARA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29814-2025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46221</v>
      </c>
      <c r="F84" t="inlineStr">
        <is>
          <t>VÄSTRA GÖTALANDS LÄN</t>
        </is>
      </c>
      <c r="G84" t="inlineStr">
        <is>
          <t>VARA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46221</v>
      </c>
      <c r="F85" t="inlineStr">
        <is>
          <t>VÄSTRA GÖTALANDS LÄN</t>
        </is>
      </c>
      <c r="G85" t="inlineStr">
        <is>
          <t>VARA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4701-2026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46221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31163-2025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46221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41286-2025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46221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46221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31629-2025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46221</v>
      </c>
      <c r="F90" t="inlineStr">
        <is>
          <t>VÄSTRA GÖTALANDS LÄN</t>
        </is>
      </c>
      <c r="G90" t="inlineStr">
        <is>
          <t>VARA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46221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46221</v>
      </c>
      <c r="F92" t="inlineStr">
        <is>
          <t>VÄSTRA GÖTALANDS LÄN</t>
        </is>
      </c>
      <c r="G92" t="inlineStr">
        <is>
          <t>VARA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46221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46221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22532-2025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45786</v>
      </c>
      <c r="E95" s="1" t="n">
        <v>46221</v>
      </c>
      <c r="F95" t="inlineStr">
        <is>
          <t>VÄSTRA GÖTALANDS LÄN</t>
        </is>
      </c>
      <c r="G95" t="inlineStr">
        <is>
          <t>VARA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33672-2025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46221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46221</v>
      </c>
      <c r="F97" t="inlineStr">
        <is>
          <t>VÄSTRA GÖTALANDS LÄN</t>
        </is>
      </c>
      <c r="G97" t="inlineStr">
        <is>
          <t>VARA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46221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33910-2025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45842</v>
      </c>
      <c r="E99" s="1" t="n">
        <v>46221</v>
      </c>
      <c r="F99" t="inlineStr">
        <is>
          <t>VÄSTRA GÖTALANDS LÄN</t>
        </is>
      </c>
      <c r="G99" t="inlineStr">
        <is>
          <t>VARA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45308</v>
      </c>
      <c r="E100" s="1" t="n">
        <v>46221</v>
      </c>
      <c r="F100" t="inlineStr">
        <is>
          <t>VÄSTRA GÖTALANDS LÄN</t>
        </is>
      </c>
      <c r="G100" t="inlineStr">
        <is>
          <t>VARA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7655-2024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45348</v>
      </c>
      <c r="E101" s="1" t="n">
        <v>46221</v>
      </c>
      <c r="F101" t="inlineStr">
        <is>
          <t>VÄSTRA GÖTALANDS LÄN</t>
        </is>
      </c>
      <c r="G101" t="inlineStr">
        <is>
          <t>VARA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44700</v>
      </c>
      <c r="E102" s="1" t="n">
        <v>46221</v>
      </c>
      <c r="F102" t="inlineStr">
        <is>
          <t>VÄSTRA GÖTALANDS LÄN</t>
        </is>
      </c>
      <c r="G102" t="inlineStr">
        <is>
          <t>VARA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46221</v>
      </c>
      <c r="F103" t="inlineStr">
        <is>
          <t>VÄSTRA GÖTALANDS LÄN</t>
        </is>
      </c>
      <c r="G103" t="inlineStr">
        <is>
          <t>VARA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46221</v>
      </c>
      <c r="F104" t="inlineStr">
        <is>
          <t>VÄSTRA GÖTALANDS LÄN</t>
        </is>
      </c>
      <c r="G104" t="inlineStr">
        <is>
          <t>VARA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55667-2024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46221</v>
      </c>
      <c r="F105" t="inlineStr">
        <is>
          <t>VÄSTRA GÖTALANDS LÄN</t>
        </is>
      </c>
      <c r="G105" t="inlineStr">
        <is>
          <t>VARA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46221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46221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46221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46221</v>
      </c>
      <c r="F109" t="inlineStr">
        <is>
          <t>VÄSTRA GÖTALANDS LÄN</t>
        </is>
      </c>
      <c r="G109" t="inlineStr">
        <is>
          <t>VARA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7851-2023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46221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36630-2025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46221</v>
      </c>
      <c r="F111" t="inlineStr">
        <is>
          <t>VÄSTRA GÖTALANDS LÄN</t>
        </is>
      </c>
      <c r="G111" t="inlineStr">
        <is>
          <t>VARA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36632-2025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45870</v>
      </c>
      <c r="E112" s="1" t="n">
        <v>46221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46221</v>
      </c>
      <c r="F113" t="inlineStr">
        <is>
          <t>VÄSTRA GÖTALANDS LÄN</t>
        </is>
      </c>
      <c r="G113" t="inlineStr">
        <is>
          <t>VARA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33300-2023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45116</v>
      </c>
      <c r="E114" s="1" t="n">
        <v>46221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33301-2023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46221</v>
      </c>
      <c r="F115" t="inlineStr">
        <is>
          <t>VÄSTRA GÖTALANDS LÄN</t>
        </is>
      </c>
      <c r="G115" t="inlineStr">
        <is>
          <t>VARA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61269-2024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46221</v>
      </c>
      <c r="F116" t="inlineStr">
        <is>
          <t>VÄSTRA GÖTALANDS LÄN</t>
        </is>
      </c>
      <c r="G116" t="inlineStr">
        <is>
          <t>VARA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46221</v>
      </c>
      <c r="F117" t="inlineStr">
        <is>
          <t>VÄSTRA GÖTALANDS LÄN</t>
        </is>
      </c>
      <c r="G117" t="inlineStr">
        <is>
          <t>VARA</t>
        </is>
      </c>
      <c r="H117" t="inlineStr">
        <is>
          <t>Kyrkan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46221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46221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50123-2025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46221</v>
      </c>
      <c r="F120" t="inlineStr">
        <is>
          <t>VÄSTRA GÖTALANDS LÄN</t>
        </is>
      </c>
      <c r="G120" t="inlineStr">
        <is>
          <t>VARA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12938-2022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44642</v>
      </c>
      <c r="E121" s="1" t="n">
        <v>46221</v>
      </c>
      <c r="F121" t="inlineStr">
        <is>
          <t>VÄSTRA GÖTALANDS LÄN</t>
        </is>
      </c>
      <c r="G121" t="inlineStr">
        <is>
          <t>VARA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62775-2023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45271</v>
      </c>
      <c r="E122" s="1" t="n">
        <v>46221</v>
      </c>
      <c r="F122" t="inlineStr">
        <is>
          <t>VÄSTRA GÖTALANDS LÄN</t>
        </is>
      </c>
      <c r="G122" t="inlineStr">
        <is>
          <t>VARA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46221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51218-2025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46221</v>
      </c>
      <c r="F124" t="inlineStr">
        <is>
          <t>VÄSTRA GÖTALANDS LÄN</t>
        </is>
      </c>
      <c r="G124" t="inlineStr">
        <is>
          <t>VARA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51206-2025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46221</v>
      </c>
      <c r="F125" t="inlineStr">
        <is>
          <t>VÄSTRA GÖTALANDS LÄN</t>
        </is>
      </c>
      <c r="G125" t="inlineStr">
        <is>
          <t>VARA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46221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8678-2026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46221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Kyrkan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53604-2025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46221</v>
      </c>
      <c r="F128" t="inlineStr">
        <is>
          <t>VÄSTRA GÖTALANDS LÄN</t>
        </is>
      </c>
      <c r="G128" t="inlineStr">
        <is>
          <t>VARA</t>
        </is>
      </c>
      <c r="I128" t="n">
        <v>19.8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38920-2022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44816</v>
      </c>
      <c r="E129" s="1" t="n">
        <v>46221</v>
      </c>
      <c r="F129" t="inlineStr">
        <is>
          <t>VÄSTRA GÖTALANDS LÄN</t>
        </is>
      </c>
      <c r="G129" t="inlineStr">
        <is>
          <t>VARA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46221</v>
      </c>
      <c r="F130" t="inlineStr">
        <is>
          <t>VÄSTRA GÖTALANDS LÄN</t>
        </is>
      </c>
      <c r="G130" t="inlineStr">
        <is>
          <t>VARA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8949-2026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46221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46221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46221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46221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46221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46221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46221</v>
      </c>
      <c r="F137" t="inlineStr">
        <is>
          <t>VÄSTRA GÖTALANDS LÄN</t>
        </is>
      </c>
      <c r="G137" t="inlineStr">
        <is>
          <t>VARA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9919-2026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46221</v>
      </c>
      <c r="F138" t="inlineStr">
        <is>
          <t>VÄSTRA GÖTALANDS LÄN</t>
        </is>
      </c>
      <c r="G138" t="inlineStr">
        <is>
          <t>VARA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9923-2026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46073</v>
      </c>
      <c r="E139" s="1" t="n">
        <v>46221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9925-2026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46221</v>
      </c>
      <c r="F140" t="inlineStr">
        <is>
          <t>VÄSTRA GÖTALANDS LÄN</t>
        </is>
      </c>
      <c r="G140" t="inlineStr">
        <is>
          <t>VARA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46221</v>
      </c>
      <c r="F141" t="inlineStr">
        <is>
          <t>VÄSTRA GÖTALANDS LÄN</t>
        </is>
      </c>
      <c r="G141" t="inlineStr">
        <is>
          <t>VARA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46221</v>
      </c>
      <c r="F142" t="inlineStr">
        <is>
          <t>VÄSTRA GÖTALANDS LÄN</t>
        </is>
      </c>
      <c r="G142" t="inlineStr">
        <is>
          <t>VARA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46221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46221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55561-2025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46221</v>
      </c>
      <c r="F145" t="inlineStr">
        <is>
          <t>VÄSTRA GÖTALANDS LÄN</t>
        </is>
      </c>
      <c r="G145" t="inlineStr">
        <is>
          <t>VARA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46221</v>
      </c>
      <c r="F146" t="inlineStr">
        <is>
          <t>VÄSTRA GÖTALANDS LÄN</t>
        </is>
      </c>
      <c r="G146" t="inlineStr">
        <is>
          <t>VARA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46221</v>
      </c>
      <c r="F147" t="inlineStr">
        <is>
          <t>VÄSTRA GÖTALANDS LÄN</t>
        </is>
      </c>
      <c r="G147" t="inlineStr">
        <is>
          <t>VARA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41690-2023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46221</v>
      </c>
      <c r="F148" t="inlineStr">
        <is>
          <t>VÄSTRA GÖTALANDS LÄN</t>
        </is>
      </c>
      <c r="G148" t="inlineStr">
        <is>
          <t>VARA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46221</v>
      </c>
      <c r="F149" t="inlineStr">
        <is>
          <t>VÄSTRA GÖTALANDS LÄN</t>
        </is>
      </c>
      <c r="G149" t="inlineStr">
        <is>
          <t>VARA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46221</v>
      </c>
      <c r="F150" t="inlineStr">
        <is>
          <t>VÄSTRA GÖTALANDS LÄN</t>
        </is>
      </c>
      <c r="G150" t="inlineStr">
        <is>
          <t>VARA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60216-2025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46221</v>
      </c>
      <c r="F151" t="inlineStr">
        <is>
          <t>VÄSTRA GÖTALANDS LÄN</t>
        </is>
      </c>
      <c r="G151" t="inlineStr">
        <is>
          <t>VARA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60029-2025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46221</v>
      </c>
      <c r="F152" t="inlineStr">
        <is>
          <t>VÄSTRA GÖTALANDS LÄN</t>
        </is>
      </c>
      <c r="G152" t="inlineStr">
        <is>
          <t>VARA</t>
        </is>
      </c>
      <c r="I152" t="n">
        <v>19.6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46221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27845-2023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46221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18224-2022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46221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18244-2022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46221</v>
      </c>
      <c r="F156" t="inlineStr">
        <is>
          <t>VÄSTRA GÖTALANDS LÄN</t>
        </is>
      </c>
      <c r="G156" t="inlineStr">
        <is>
          <t>VARA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59786-2022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46221</v>
      </c>
      <c r="F157" t="inlineStr">
        <is>
          <t>VÄSTRA GÖTALANDS LÄN</t>
        </is>
      </c>
      <c r="G157" t="inlineStr">
        <is>
          <t>VARA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42486-2021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44427</v>
      </c>
      <c r="E158" s="1" t="n">
        <v>46221</v>
      </c>
      <c r="F158" t="inlineStr">
        <is>
          <t>VÄSTRA GÖTALANDS LÄN</t>
        </is>
      </c>
      <c r="G158" t="inlineStr">
        <is>
          <t>VARA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37726-2024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46221</v>
      </c>
      <c r="F159" t="inlineStr">
        <is>
          <t>VÄSTRA GÖTALANDS LÄN</t>
        </is>
      </c>
      <c r="G159" t="inlineStr">
        <is>
          <t>VARA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14116-2025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46221</v>
      </c>
      <c r="F160" t="inlineStr">
        <is>
          <t>VÄSTRA GÖTALANDS LÄN</t>
        </is>
      </c>
      <c r="G160" t="inlineStr">
        <is>
          <t>VARA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46221</v>
      </c>
      <c r="F161" t="inlineStr">
        <is>
          <t>VÄSTRA GÖTALANDS LÄN</t>
        </is>
      </c>
      <c r="G161" t="inlineStr">
        <is>
          <t>VARA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33099-2025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46221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46221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46221</v>
      </c>
      <c r="F164" t="inlineStr">
        <is>
          <t>VÄSTRA GÖTALANDS LÄN</t>
        </is>
      </c>
      <c r="G164" t="inlineStr">
        <is>
          <t>VARA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59946-2022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46221</v>
      </c>
      <c r="F165" t="inlineStr">
        <is>
          <t>VÄSTRA GÖTALANDS LÄN</t>
        </is>
      </c>
      <c r="G165" t="inlineStr">
        <is>
          <t>VARA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73168-2021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46221</v>
      </c>
      <c r="F166" t="inlineStr">
        <is>
          <t>VÄSTRA GÖTALANDS LÄN</t>
        </is>
      </c>
      <c r="G166" t="inlineStr">
        <is>
          <t>VARA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46221</v>
      </c>
      <c r="F167" t="inlineStr">
        <is>
          <t>VÄSTRA GÖTALANDS LÄN</t>
        </is>
      </c>
      <c r="G167" t="inlineStr">
        <is>
          <t>VARA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61737-2023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46221</v>
      </c>
      <c r="F168" t="inlineStr">
        <is>
          <t>VÄSTRA GÖTALANDS LÄN</t>
        </is>
      </c>
      <c r="G168" t="inlineStr">
        <is>
          <t>VARA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46221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16754-2026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46221</v>
      </c>
      <c r="F170" t="inlineStr">
        <is>
          <t>VÄSTRA GÖTALANDS LÄN</t>
        </is>
      </c>
      <c r="G170" t="inlineStr">
        <is>
          <t>VARA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46221</v>
      </c>
      <c r="F171" t="inlineStr">
        <is>
          <t>VÄSTRA GÖTALANDS LÄN</t>
        </is>
      </c>
      <c r="G171" t="inlineStr">
        <is>
          <t>VARA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56654-2023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46221</v>
      </c>
      <c r="F172" t="inlineStr">
        <is>
          <t>VÄSTRA GÖTALANDS LÄN</t>
        </is>
      </c>
      <c r="G172" t="inlineStr">
        <is>
          <t>VARA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7238-2024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45344</v>
      </c>
      <c r="E173" s="1" t="n">
        <v>46221</v>
      </c>
      <c r="F173" t="inlineStr">
        <is>
          <t>VÄSTRA GÖTALANDS LÄN</t>
        </is>
      </c>
      <c r="G173" t="inlineStr">
        <is>
          <t>VARA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28851-2024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46221</v>
      </c>
      <c r="F174" t="inlineStr">
        <is>
          <t>VÄSTRA GÖTALANDS LÄN</t>
        </is>
      </c>
      <c r="G174" t="inlineStr">
        <is>
          <t>VARA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42427-2023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46221</v>
      </c>
      <c r="F175" t="inlineStr">
        <is>
          <t>VÄSTRA GÖTALANDS LÄN</t>
        </is>
      </c>
      <c r="G175" t="inlineStr">
        <is>
          <t>VARA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45299</v>
      </c>
      <c r="E176" s="1" t="n">
        <v>46221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46221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46221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46221</v>
      </c>
      <c r="F179" t="inlineStr">
        <is>
          <t>VÄSTRA GÖTALANDS LÄN</t>
        </is>
      </c>
      <c r="G179" t="inlineStr">
        <is>
          <t>VARA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46221</v>
      </c>
      <c r="F180" t="inlineStr">
        <is>
          <t>VÄSTRA GÖTALANDS LÄN</t>
        </is>
      </c>
      <c r="G180" t="inlineStr">
        <is>
          <t>VARA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46221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46221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46221</v>
      </c>
      <c r="F183" t="inlineStr">
        <is>
          <t>VÄSTRA GÖTALANDS LÄN</t>
        </is>
      </c>
      <c r="G183" t="inlineStr">
        <is>
          <t>VARA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9218-2024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46221</v>
      </c>
      <c r="F184" t="inlineStr">
        <is>
          <t>VÄSTRA GÖTALANDS LÄN</t>
        </is>
      </c>
      <c r="G184" t="inlineStr">
        <is>
          <t>VARA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44565</v>
      </c>
      <c r="E185" s="1" t="n">
        <v>46221</v>
      </c>
      <c r="F185" t="inlineStr">
        <is>
          <t>VÄSTRA GÖTALANDS LÄN</t>
        </is>
      </c>
      <c r="G185" t="inlineStr">
        <is>
          <t>VARA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45218</v>
      </c>
      <c r="E186" s="1" t="n">
        <v>46221</v>
      </c>
      <c r="F186" t="inlineStr">
        <is>
          <t>VÄSTRA GÖTALANDS LÄN</t>
        </is>
      </c>
      <c r="G186" t="inlineStr">
        <is>
          <t>VARA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51421-2021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46221</v>
      </c>
      <c r="F187" t="inlineStr">
        <is>
          <t>VÄSTRA GÖTALANDS LÄN</t>
        </is>
      </c>
      <c r="G187" t="inlineStr">
        <is>
          <t>VARA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51421-2021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46221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49863-2025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46221</v>
      </c>
      <c r="F189" t="inlineStr">
        <is>
          <t>VÄSTRA GÖTALANDS LÄN</t>
        </is>
      </c>
      <c r="G189" t="inlineStr">
        <is>
          <t>VARA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57303-2024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46221</v>
      </c>
      <c r="F190" t="inlineStr">
        <is>
          <t>VÄSTRA GÖTALANDS LÄN</t>
        </is>
      </c>
      <c r="G190" t="inlineStr">
        <is>
          <t>VARA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46221</v>
      </c>
      <c r="F191" t="inlineStr">
        <is>
          <t>VÄSTRA GÖTALANDS LÄN</t>
        </is>
      </c>
      <c r="G191" t="inlineStr">
        <is>
          <t>VARA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52918-2023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46221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46221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46221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46221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12016-2025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46221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46221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20911-2025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46221</v>
      </c>
      <c r="F198" t="inlineStr">
        <is>
          <t>VÄSTRA GÖTALANDS LÄN</t>
        </is>
      </c>
      <c r="G198" t="inlineStr">
        <is>
          <t>VARA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35035-2023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46221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46221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9108-2022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44615</v>
      </c>
      <c r="E201" s="1" t="n">
        <v>46221</v>
      </c>
      <c r="F201" t="inlineStr">
        <is>
          <t>VÄSTRA GÖTALANDS LÄN</t>
        </is>
      </c>
      <c r="G201" t="inlineStr">
        <is>
          <t>VARA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61738-2023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46221</v>
      </c>
      <c r="F202" t="inlineStr">
        <is>
          <t>VÄSTRA GÖTALANDS LÄN</t>
        </is>
      </c>
      <c r="G202" t="inlineStr">
        <is>
          <t>VARA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46221</v>
      </c>
      <c r="F203" t="inlineStr">
        <is>
          <t>VÄSTRA GÖTALANDS LÄN</t>
        </is>
      </c>
      <c r="G203" t="inlineStr">
        <is>
          <t>VARA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46221</v>
      </c>
      <c r="F204" t="inlineStr">
        <is>
          <t>VÄSTRA GÖTALANDS LÄN</t>
        </is>
      </c>
      <c r="G204" t="inlineStr">
        <is>
          <t>VARA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57256-2022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46221</v>
      </c>
      <c r="F205" t="inlineStr">
        <is>
          <t>VÄSTRA GÖTALANDS LÄN</t>
        </is>
      </c>
      <c r="G205" t="inlineStr">
        <is>
          <t>VARA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57257-2022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46221</v>
      </c>
      <c r="F206" t="inlineStr">
        <is>
          <t>VÄSTRA GÖTALANDS LÄN</t>
        </is>
      </c>
      <c r="G206" t="inlineStr">
        <is>
          <t>VARA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59266-2023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46221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18691-2023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46221</v>
      </c>
      <c r="F208" t="inlineStr">
        <is>
          <t>VÄSTRA GÖTALANDS LÄN</t>
        </is>
      </c>
      <c r="G208" t="inlineStr">
        <is>
          <t>VARA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46221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46221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46221</v>
      </c>
      <c r="F211" t="inlineStr">
        <is>
          <t>VÄSTRA GÖTALANDS LÄN</t>
        </is>
      </c>
      <c r="G211" t="inlineStr">
        <is>
          <t>VARA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57253-2022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46221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42038-2024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46221</v>
      </c>
      <c r="F213" t="inlineStr">
        <is>
          <t>VÄSTRA GÖTALANDS LÄN</t>
        </is>
      </c>
      <c r="G213" t="inlineStr">
        <is>
          <t>VARA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45142</v>
      </c>
      <c r="E214" s="1" t="n">
        <v>46221</v>
      </c>
      <c r="F214" t="inlineStr">
        <is>
          <t>VÄSTRA GÖTALANDS LÄN</t>
        </is>
      </c>
      <c r="G214" t="inlineStr">
        <is>
          <t>VARA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46221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50712-2021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44460</v>
      </c>
      <c r="E216" s="1" t="n">
        <v>46221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46221</v>
      </c>
      <c r="F217" t="inlineStr">
        <is>
          <t>VÄSTRA GÖTALANDS LÄN</t>
        </is>
      </c>
      <c r="G217" t="inlineStr">
        <is>
          <t>VARA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28706-2026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46221</v>
      </c>
      <c r="F218" t="inlineStr">
        <is>
          <t>VÄSTRA GÖTALANDS LÄN</t>
        </is>
      </c>
      <c r="G218" t="inlineStr">
        <is>
          <t>VARA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46221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46221</v>
      </c>
      <c r="F220" t="inlineStr">
        <is>
          <t>VÄSTRA GÖTALANDS LÄN</t>
        </is>
      </c>
      <c r="G220" t="inlineStr">
        <is>
          <t>VARA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46221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46221</v>
      </c>
      <c r="F222" t="inlineStr">
        <is>
          <t>VÄSTRA GÖTALANDS LÄN</t>
        </is>
      </c>
      <c r="G222" t="inlineStr">
        <is>
          <t>VARA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46221</v>
      </c>
      <c r="F223" t="inlineStr">
        <is>
          <t>VÄSTRA GÖTALANDS LÄN</t>
        </is>
      </c>
      <c r="G223" t="inlineStr">
        <is>
          <t>VARA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46221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46221</v>
      </c>
      <c r="F225" t="inlineStr">
        <is>
          <t>VÄSTRA GÖTALANDS LÄN</t>
        </is>
      </c>
      <c r="G225" t="inlineStr">
        <is>
          <t>VARA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73305-2021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44551</v>
      </c>
      <c r="E226" s="1" t="n">
        <v>46221</v>
      </c>
      <c r="F226" t="inlineStr">
        <is>
          <t>VÄSTRA GÖTALANDS LÄN</t>
        </is>
      </c>
      <c r="G226" t="inlineStr">
        <is>
          <t>VARA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46221</v>
      </c>
      <c r="F227" t="inlineStr">
        <is>
          <t>VÄSTRA GÖTALANDS LÄN</t>
        </is>
      </c>
      <c r="G227" t="inlineStr">
        <is>
          <t>VARA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35608-2023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45146</v>
      </c>
      <c r="E228" s="1" t="n">
        <v>46221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22721-2026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46221</v>
      </c>
      <c r="F229" t="inlineStr">
        <is>
          <t>VÄSTRA GÖTALANDS LÄN</t>
        </is>
      </c>
      <c r="G229" t="inlineStr">
        <is>
          <t>VARA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46221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46221</v>
      </c>
      <c r="F231" t="inlineStr">
        <is>
          <t>VÄSTRA GÖTALANDS LÄN</t>
        </is>
      </c>
      <c r="G231" t="inlineStr">
        <is>
          <t>VARA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45230</v>
      </c>
      <c r="E232" s="1" t="n">
        <v>46221</v>
      </c>
      <c r="F232" t="inlineStr">
        <is>
          <t>VÄSTRA GÖTALANDS LÄN</t>
        </is>
      </c>
      <c r="G232" t="inlineStr">
        <is>
          <t>VARA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46221</v>
      </c>
      <c r="F233" t="inlineStr">
        <is>
          <t>VÄSTRA GÖTALANDS LÄN</t>
        </is>
      </c>
      <c r="G233" t="inlineStr">
        <is>
          <t>VARA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46221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51467-2023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45221</v>
      </c>
      <c r="E235" s="1" t="n">
        <v>46221</v>
      </c>
      <c r="F235" t="inlineStr">
        <is>
          <t>VÄSTRA GÖTALANDS LÄN</t>
        </is>
      </c>
      <c r="G235" t="inlineStr">
        <is>
          <t>VARA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25764-2023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46221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20443-2024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46221</v>
      </c>
      <c r="F237" t="inlineStr">
        <is>
          <t>VÄSTRA GÖTALANDS LÄN</t>
        </is>
      </c>
      <c r="G237" t="inlineStr">
        <is>
          <t>VARA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55296-2023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45237</v>
      </c>
      <c r="E238" s="1" t="n">
        <v>46221</v>
      </c>
      <c r="F238" t="inlineStr">
        <is>
          <t>VÄSTRA GÖTALANDS LÄN</t>
        </is>
      </c>
      <c r="G238" t="inlineStr">
        <is>
          <t>VARA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46221</v>
      </c>
      <c r="F239" t="inlineStr">
        <is>
          <t>VÄSTRA GÖTALANDS LÄN</t>
        </is>
      </c>
      <c r="G239" t="inlineStr">
        <is>
          <t>VARA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22901-2024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46221</v>
      </c>
      <c r="F240" t="inlineStr">
        <is>
          <t>VÄSTRA GÖTALANDS LÄN</t>
        </is>
      </c>
      <c r="G240" t="inlineStr">
        <is>
          <t>VARA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20433-2024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45435</v>
      </c>
      <c r="E241" s="1" t="n">
        <v>46221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9216-2024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46221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11589-2022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44631</v>
      </c>
      <c r="E243" s="1" t="n">
        <v>46221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46221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46221</v>
      </c>
      <c r="F245" t="inlineStr">
        <is>
          <t>VÄSTRA GÖTALANDS LÄN</t>
        </is>
      </c>
      <c r="G245" t="inlineStr">
        <is>
          <t>VARA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50604-2025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46221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46221</v>
      </c>
      <c r="F247" t="inlineStr">
        <is>
          <t>VÄSTRA GÖTALANDS LÄN</t>
        </is>
      </c>
      <c r="G247" t="inlineStr">
        <is>
          <t>VARA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46221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46221</v>
      </c>
      <c r="F249" t="inlineStr">
        <is>
          <t>VÄSTRA GÖTALANDS LÄN</t>
        </is>
      </c>
      <c r="G249" t="inlineStr">
        <is>
          <t>VARA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28168-2026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46221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61879-2023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46221</v>
      </c>
      <c r="F251" t="inlineStr">
        <is>
          <t>VÄSTRA GÖTALANDS LÄN</t>
        </is>
      </c>
      <c r="G251" t="inlineStr">
        <is>
          <t>VARA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58514-2024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46221</v>
      </c>
      <c r="F252" t="inlineStr">
        <is>
          <t>VÄSTRA GÖTALANDS LÄN</t>
        </is>
      </c>
      <c r="G252" t="inlineStr">
        <is>
          <t>VARA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13511-2024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46221</v>
      </c>
      <c r="F253" t="inlineStr">
        <is>
          <t>VÄSTRA GÖTALANDS LÄN</t>
        </is>
      </c>
      <c r="G253" t="inlineStr">
        <is>
          <t>VARA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25827-2026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46221</v>
      </c>
      <c r="F254" t="inlineStr">
        <is>
          <t>VÄSTRA GÖTALANDS LÄN</t>
        </is>
      </c>
      <c r="G254" t="inlineStr">
        <is>
          <t>VARA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40224-2024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46221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Kommuner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43620-2024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46221</v>
      </c>
      <c r="F256" t="inlineStr">
        <is>
          <t>VÄSTRA GÖTALANDS LÄN</t>
        </is>
      </c>
      <c r="G256" t="inlineStr">
        <is>
          <t>VARA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31440-2026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46220</v>
      </c>
      <c r="E257" s="1" t="n">
        <v>46221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10165-2025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46221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Kyrkan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31438-2026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46220</v>
      </c>
      <c r="E259" s="1" t="n">
        <v>46221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31419-2026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46220</v>
      </c>
      <c r="E260" s="1" t="n">
        <v>46221</v>
      </c>
      <c r="F260" t="inlineStr">
        <is>
          <t>VÄSTRA GÖTALANDS LÄN</t>
        </is>
      </c>
      <c r="G260" t="inlineStr">
        <is>
          <t>VARA</t>
        </is>
      </c>
      <c r="I260" t="n">
        <v>15.5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52237-2021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44463</v>
      </c>
      <c r="E261" s="1" t="n">
        <v>46221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38160-2022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44812</v>
      </c>
      <c r="E262" s="1" t="n">
        <v>46221</v>
      </c>
      <c r="F262" t="inlineStr">
        <is>
          <t>VÄSTRA GÖTALANDS LÄN</t>
        </is>
      </c>
      <c r="G262" t="inlineStr">
        <is>
          <t>VARA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14593-2022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46221</v>
      </c>
      <c r="F263" t="inlineStr">
        <is>
          <t>VÄSTRA GÖTALANDS LÄN</t>
        </is>
      </c>
      <c r="G263" t="inlineStr">
        <is>
          <t>VARA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46221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43754-2022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46221</v>
      </c>
      <c r="F265" t="inlineStr">
        <is>
          <t>VÄSTRA GÖTALANDS LÄN</t>
        </is>
      </c>
      <c r="G265" t="inlineStr">
        <is>
          <t>VARA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46221</v>
      </c>
      <c r="F266" t="inlineStr">
        <is>
          <t>VÄSTRA GÖTALANDS LÄN</t>
        </is>
      </c>
      <c r="G266" t="inlineStr">
        <is>
          <t>VARA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57465-2024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46221</v>
      </c>
      <c r="F267" t="inlineStr">
        <is>
          <t>VÄSTRA GÖTALANDS LÄN</t>
        </is>
      </c>
      <c r="G267" t="inlineStr">
        <is>
          <t>VARA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46221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13235-2024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46221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45665</v>
      </c>
      <c r="E270" s="1" t="n">
        <v>46221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13513-2024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45387</v>
      </c>
      <c r="E271" s="1" t="n">
        <v>46221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10303-2024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45365</v>
      </c>
      <c r="E272" s="1" t="n">
        <v>46221</v>
      </c>
      <c r="F272" t="inlineStr">
        <is>
          <t>VÄSTRA GÖTALANDS LÄN</t>
        </is>
      </c>
      <c r="G272" t="inlineStr">
        <is>
          <t>VARA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9098-2025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46221</v>
      </c>
      <c r="F273" t="inlineStr">
        <is>
          <t>VÄSTRA GÖTALANDS LÄN</t>
        </is>
      </c>
      <c r="G273" t="inlineStr">
        <is>
          <t>VARA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46221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48908-2024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46221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23669-2025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46221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46221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46221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46221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46221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46221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46221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46221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46221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46221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2026-07-18T01:20:50Z</dcterms:created>
  <dcterms:modified xmlns:dcterms="http://purl.org/dc/terms/" xmlns:xsi="http://www.w3.org/2001/XMLSchema-instance" xsi:type="dcterms:W3CDTF">2026-07-18T01:20:50Z</dcterms:modified>
</cp:coreProperties>
</file>