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A 54293-2023</t>
        </is>
      </c>
      <c r="B2" t="inlineStr">
        <is>
          <t>avverkningsanmälan</t>
        </is>
      </c>
      <c r="C2" t="inlineStr">
        <is>
          <t>Föryngringsavverkning</t>
        </is>
      </c>
      <c r="D2" s="1" t="n">
        <v>45232</v>
      </c>
      <c r="E2" s="1" t="n">
        <v>46316</v>
      </c>
      <c r="F2" t="inlineStr">
        <is>
          <t>VÄSTRA GÖTALANDS LÄN</t>
        </is>
      </c>
      <c r="G2" t="inlineStr">
        <is>
          <t>VARA</t>
        </is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1</v>
      </c>
      <c r="U2" t="n">
        <v>1</v>
      </c>
      <c r="V2" s="2" t="inlineStr">
        <is>
          <t>Revlummer</t>
        </is>
      </c>
      <c r="W2">
        <f>HYPERLINK("https://klasma.github.io/Logging_1470/artfynd/A 54293-2023 artfynd.xlsx", "A 54293-2023")</f>
        <v/>
      </c>
      <c r="X2">
        <f>HYPERLINK("https://klasma.github.io/Logging_1470/kartor/A 54293-2023 karta.png", "A 54293-2023")</f>
        <v/>
      </c>
      <c r="Y2">
        <f>HYPERLINK("https://klasma.github.io/Logging_1470/kartor_geotiff/A 54293-2023 georefererad karta.tif", "A 54293-2023")</f>
        <v/>
      </c>
      <c r="AA2">
        <f>HYPERLINK("https://klasma.github.io/Logging_1470/klagomål/A 54293-2023 FSC-klagomål.docx", "A 54293-2023")</f>
        <v/>
      </c>
      <c r="AB2">
        <f>HYPERLINK("https://klasma.github.io/Logging_1470/klagomålsmail/A 54293-2023 FSC-klagomål mail.docx", "A 54293-2023")</f>
        <v/>
      </c>
      <c r="AC2">
        <f>HYPERLINK("https://klasma.github.io/Logging_1470/tillsyn/A 54293-2023 tillsynsbegäran.docx", "A 54293-2023")</f>
        <v/>
      </c>
      <c r="AD2">
        <f>HYPERLINK("https://klasma.github.io/Logging_1470/tillsynsmail/A 54293-2023 tillsynsbegäran mail.docx", "A 54293-2023")</f>
        <v/>
      </c>
    </row>
    <row r="3" ht="15" customHeight="1">
      <c r="A3" t="inlineStr">
        <is>
          <t>A 11270-2025</t>
        </is>
      </c>
      <c r="B3" t="inlineStr">
        <is>
          <t>avverkningsanmälan</t>
        </is>
      </c>
      <c r="C3" t="inlineStr">
        <is>
          <t>Föryngringsavverkning</t>
        </is>
      </c>
      <c r="D3" s="1" t="n">
        <v>45726</v>
      </c>
      <c r="E3" s="1" t="n">
        <v>46316</v>
      </c>
      <c r="F3" t="inlineStr">
        <is>
          <t>VÄSTRA GÖTALANDS LÄN</t>
        </is>
      </c>
      <c r="G3" t="inlineStr">
        <is>
          <t>VARA</t>
        </is>
      </c>
      <c r="I3" t="n">
        <v>0.5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1</v>
      </c>
      <c r="R3" t="n">
        <v>0</v>
      </c>
      <c r="S3" t="n">
        <v>1</v>
      </c>
      <c r="T3" t="n">
        <v>1</v>
      </c>
      <c r="U3" t="n">
        <v>0</v>
      </c>
      <c r="V3" s="2" t="inlineStr">
        <is>
          <t>Härfågel</t>
        </is>
      </c>
      <c r="W3">
        <f>HYPERLINK("https://klasma.github.io/Logging_1470/artfynd/A 11270-2025 artfynd.xlsx", "A 11270-2025")</f>
        <v/>
      </c>
      <c r="X3">
        <f>HYPERLINK("https://klasma.github.io/Logging_1470/kartor/A 11270-2025 karta.png", "A 11270-2025")</f>
        <v/>
      </c>
      <c r="Y3">
        <f>HYPERLINK("https://klasma.github.io/Logging_1470/kartor_geotiff/A 11270-2025 georefererad karta.tif", "A 11270-2025")</f>
        <v/>
      </c>
      <c r="AA3">
        <f>HYPERLINK("https://klasma.github.io/Logging_1470/klagomål/A 11270-2025 FSC-klagomål.docx", "A 11270-2025")</f>
        <v/>
      </c>
      <c r="AB3">
        <f>HYPERLINK("https://klasma.github.io/Logging_1470/klagomålsmail/A 11270-2025 FSC-klagomål mail.docx", "A 11270-2025")</f>
        <v/>
      </c>
      <c r="AC3">
        <f>HYPERLINK("https://klasma.github.io/Logging_1470/tillsyn/A 11270-2025 tillsynsbegäran.docx", "A 11270-2025")</f>
        <v/>
      </c>
      <c r="AD3">
        <f>HYPERLINK("https://klasma.github.io/Logging_1470/tillsynsmail/A 11270-2025 tillsynsbegäran mail.docx", "A 11270-2025")</f>
        <v/>
      </c>
      <c r="AE3">
        <f>HYPERLINK("https://klasma.github.io/Logging_1470/fåglar/A 11270-2025 prioriterade fågelarter.docx", "A 11270-2025")</f>
        <v/>
      </c>
    </row>
    <row r="4" ht="15" customHeight="1">
      <c r="A4" t="inlineStr">
        <is>
          <t>A 36627-2025</t>
        </is>
      </c>
      <c r="B4" t="inlineStr">
        <is>
          <t>avverkningsanmälan</t>
        </is>
      </c>
      <c r="C4" t="inlineStr">
        <is>
          <t>Föryngringsavverkning</t>
        </is>
      </c>
      <c r="D4" s="1" t="n">
        <v>45870</v>
      </c>
      <c r="E4" s="1" t="n">
        <v>46316</v>
      </c>
      <c r="F4" t="inlineStr">
        <is>
          <t>VÄSTRA GÖTALANDS LÄN</t>
        </is>
      </c>
      <c r="G4" t="inlineStr">
        <is>
          <t>VARA</t>
        </is>
      </c>
      <c r="I4" t="n">
        <v>3.6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1</v>
      </c>
      <c r="U4" t="n">
        <v>0</v>
      </c>
      <c r="V4" s="2" t="inlineStr">
        <is>
          <t>Vanlig padda</t>
        </is>
      </c>
      <c r="W4">
        <f>HYPERLINK("https://klasma.github.io/Logging_1470/artfynd/A 36627-2025 artfynd.xlsx", "A 36627-2025")</f>
        <v/>
      </c>
      <c r="X4">
        <f>HYPERLINK("https://klasma.github.io/Logging_1470/kartor/A 36627-2025 karta.png", "A 36627-2025")</f>
        <v/>
      </c>
      <c r="Y4">
        <f>HYPERLINK("https://klasma.github.io/Logging_1470/kartor_geotiff/A 36627-2025 georefererad karta.tif", "A 36627-2025")</f>
        <v/>
      </c>
      <c r="AA4">
        <f>HYPERLINK("https://klasma.github.io/Logging_1470/klagomål/A 36627-2025 FSC-klagomål.docx", "A 36627-2025")</f>
        <v/>
      </c>
      <c r="AB4">
        <f>HYPERLINK("https://klasma.github.io/Logging_1470/klagomålsmail/A 36627-2025 FSC-klagomål mail.docx", "A 36627-2025")</f>
        <v/>
      </c>
      <c r="AC4">
        <f>HYPERLINK("https://klasma.github.io/Logging_1470/tillsyn/A 36627-2025 tillsynsbegäran.docx", "A 36627-2025")</f>
        <v/>
      </c>
      <c r="AD4">
        <f>HYPERLINK("https://klasma.github.io/Logging_1470/tillsynsmail/A 36627-2025 tillsynsbegäran mail.docx", "A 36627-2025")</f>
        <v/>
      </c>
    </row>
    <row r="5" ht="15" customHeight="1">
      <c r="A5" t="inlineStr">
        <is>
          <t>A 60881-2025</t>
        </is>
      </c>
      <c r="B5" t="inlineStr">
        <is>
          <t>avverkningsanmälan</t>
        </is>
      </c>
      <c r="C5" t="inlineStr">
        <is>
          <t>Föryngringsavverkning</t>
        </is>
      </c>
      <c r="D5" s="1" t="n">
        <v>45999</v>
      </c>
      <c r="E5" s="1" t="n">
        <v>46316</v>
      </c>
      <c r="F5" t="inlineStr">
        <is>
          <t>VÄSTRA GÖTALANDS LÄN</t>
        </is>
      </c>
      <c r="G5" t="inlineStr">
        <is>
          <t>VARA</t>
        </is>
      </c>
      <c r="I5" t="n">
        <v>6.6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1</v>
      </c>
      <c r="U5" t="n">
        <v>0</v>
      </c>
      <c r="V5" s="2" t="inlineStr">
        <is>
          <t>Rostfläck</t>
        </is>
      </c>
      <c r="W5">
        <f>HYPERLINK("https://klasma.github.io/Logging_1470/artfynd/A 60881-2025 artfynd.xlsx", "A 60881-2025")</f>
        <v/>
      </c>
      <c r="X5">
        <f>HYPERLINK("https://klasma.github.io/Logging_1470/kartor/A 60881-2025 karta.png", "A 60881-2025")</f>
        <v/>
      </c>
      <c r="Y5">
        <f>HYPERLINK("https://klasma.github.io/Logging_1470/kartor_geotiff/A 60881-2025 georefererad karta.tif", "A 60881-2025")</f>
        <v/>
      </c>
      <c r="AA5">
        <f>HYPERLINK("https://klasma.github.io/Logging_1470/klagomål/A 60881-2025 FSC-klagomål.docx", "A 60881-2025")</f>
        <v/>
      </c>
      <c r="AB5">
        <f>HYPERLINK("https://klasma.github.io/Logging_1470/klagomålsmail/A 60881-2025 FSC-klagomål mail.docx", "A 60881-2025")</f>
        <v/>
      </c>
      <c r="AC5">
        <f>HYPERLINK("https://klasma.github.io/Logging_1470/tillsyn/A 60881-2025 tillsynsbegäran.docx", "A 60881-2025")</f>
        <v/>
      </c>
      <c r="AD5">
        <f>HYPERLINK("https://klasma.github.io/Logging_1470/tillsynsmail/A 60881-2025 tillsynsbegäran mail.docx", "A 60881-2025")</f>
        <v/>
      </c>
    </row>
    <row r="6" ht="15" customHeight="1">
      <c r="A6" t="inlineStr">
        <is>
          <t>A 33920-2026</t>
        </is>
      </c>
      <c r="B6" t="inlineStr">
        <is>
          <t>avverkningsanmälan</t>
        </is>
      </c>
      <c r="C6" t="inlineStr">
        <is>
          <t>Avverkning för att bevara och utveckla /försöksver</t>
        </is>
      </c>
      <c r="D6" s="1" t="n">
        <v>46252</v>
      </c>
      <c r="E6" s="1" t="n">
        <v>46316</v>
      </c>
      <c r="F6" t="inlineStr">
        <is>
          <t>VÄSTRA GÖTALANDS LÄN</t>
        </is>
      </c>
      <c r="G6" t="inlineStr">
        <is>
          <t>VARA</t>
        </is>
      </c>
      <c r="I6" t="n">
        <v>4.1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1</v>
      </c>
      <c r="T6" t="n">
        <v>1</v>
      </c>
      <c r="U6" t="n">
        <v>0</v>
      </c>
      <c r="V6" s="2" t="inlineStr">
        <is>
          <t>Gulsparv</t>
        </is>
      </c>
      <c r="W6">
        <f>HYPERLINK("https://klasma.github.io/Logging_1470/artfynd/A 33920-2026 artfynd.xlsx", "A 33920-2026")</f>
        <v/>
      </c>
      <c r="X6">
        <f>HYPERLINK("https://klasma.github.io/Logging_1470/kartor/A 33920-2026 karta.png", "A 33920-2026")</f>
        <v/>
      </c>
      <c r="Y6">
        <f>HYPERLINK("https://klasma.github.io/Logging_1470/kartor_geotiff/A 33920-2026 georefererad karta.tif", "A 33920-2026")</f>
        <v/>
      </c>
      <c r="AA6">
        <f>HYPERLINK("https://klasma.github.io/Logging_1470/klagomål/A 33920-2026 FSC-klagomål.docx", "A 33920-2026")</f>
        <v/>
      </c>
      <c r="AB6">
        <f>HYPERLINK("https://klasma.github.io/Logging_1470/klagomålsmail/A 33920-2026 FSC-klagomål mail.docx", "A 33920-2026")</f>
        <v/>
      </c>
      <c r="AC6">
        <f>HYPERLINK("https://klasma.github.io/Logging_1470/tillsyn/A 33920-2026 tillsynsbegäran.docx", "A 33920-2026")</f>
        <v/>
      </c>
      <c r="AD6">
        <f>HYPERLINK("https://klasma.github.io/Logging_1470/tillsynsmail/A 33920-2026 tillsynsbegäran mail.docx", "A 33920-2026")</f>
        <v/>
      </c>
      <c r="AE6">
        <f>HYPERLINK("https://klasma.github.io/Logging_1470/fåglar/A 33920-2026 prioriterade fågelarter.docx", "A 33920-2026")</f>
        <v/>
      </c>
    </row>
    <row r="7" ht="15" customHeight="1">
      <c r="A7" t="inlineStr">
        <is>
          <t>A 56164-2024</t>
        </is>
      </c>
      <c r="B7" t="inlineStr">
        <is>
          <t>avverkningsanmälan</t>
        </is>
      </c>
      <c r="C7" t="inlineStr">
        <is>
          <t>Föryngringsavverkning</t>
        </is>
      </c>
      <c r="D7" s="1" t="n">
        <v>45624</v>
      </c>
      <c r="E7" s="1" t="n">
        <v>46316</v>
      </c>
      <c r="F7" t="inlineStr">
        <is>
          <t>VÄSTRA GÖTALANDS LÄN</t>
        </is>
      </c>
      <c r="G7" t="inlineStr">
        <is>
          <t>VARA</t>
        </is>
      </c>
      <c r="I7" t="n">
        <v>15.7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2</v>
      </c>
      <c r="U7" t="n">
        <v>2</v>
      </c>
      <c r="V7" s="2" t="inlineStr">
        <is>
          <t>Mattlummer</t>
        </is>
      </c>
      <c r="W7">
        <f>HYPERLINK("https://klasma.github.io/Logging_1470/artfynd/A 56164-2024 artfynd.xlsx", "A 56164-2024")</f>
        <v/>
      </c>
      <c r="X7">
        <f>HYPERLINK("https://klasma.github.io/Logging_1470/kartor/A 56164-2024 karta.png", "A 56164-2024")</f>
        <v/>
      </c>
      <c r="Y7">
        <f>HYPERLINK("https://klasma.github.io/Logging_1470/kartor_geotiff/A 56164-2024 georefererad karta.tif", "A 56164-2024")</f>
        <v/>
      </c>
      <c r="AA7">
        <f>HYPERLINK("https://klasma.github.io/Logging_1470/klagomål/A 56164-2024 FSC-klagomål.docx", "A 56164-2024")</f>
        <v/>
      </c>
      <c r="AB7">
        <f>HYPERLINK("https://klasma.github.io/Logging_1470/klagomålsmail/A 56164-2024 FSC-klagomål mail.docx", "A 56164-2024")</f>
        <v/>
      </c>
      <c r="AC7">
        <f>HYPERLINK("https://klasma.github.io/Logging_1470/tillsyn/A 56164-2024 tillsynsbegäran.docx", "A 56164-2024")</f>
        <v/>
      </c>
      <c r="AD7">
        <f>HYPERLINK("https://klasma.github.io/Logging_1470/tillsynsmail/A 56164-2024 tillsynsbegäran mail.docx", "A 56164-2024")</f>
        <v/>
      </c>
    </row>
    <row r="8" ht="15" customHeight="1">
      <c r="A8" t="inlineStr">
        <is>
          <t>S 3340-2023</t>
        </is>
      </c>
      <c r="B8" t="inlineStr">
        <is>
          <t>samrådsanmälan</t>
        </is>
      </c>
      <c r="C8" t="inlineStr">
        <is>
          <t>Askåterföring</t>
        </is>
      </c>
      <c r="D8" s="1" t="n">
        <v>45196</v>
      </c>
      <c r="E8" s="1" t="n">
        <v>46316</v>
      </c>
      <c r="F8" t="inlineStr">
        <is>
          <t>VÄSTRA GÖTALANDS LÄN</t>
        </is>
      </c>
      <c r="G8" t="inlineStr">
        <is>
          <t>VARA</t>
        </is>
      </c>
      <c r="I8" t="n">
        <v>54.8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1</v>
      </c>
      <c r="U8" t="n">
        <v>0</v>
      </c>
      <c r="V8" s="2" t="inlineStr">
        <is>
          <t>Vanlig groda</t>
        </is>
      </c>
      <c r="W8">
        <f>HYPERLINK("https://klasma.github.io/Logging_1470/artfynd/S 3340-2023 artfynd.xlsx", "S 3340-2023")</f>
        <v/>
      </c>
      <c r="X8">
        <f>HYPERLINK("https://klasma.github.io/Logging_1470/kartor/S 3340-2023 karta.png", "S 3340-2023")</f>
        <v/>
      </c>
      <c r="Y8">
        <f>HYPERLINK("https://klasma.github.io/Logging_1470/kartor_geotiff/S 3340-2023 georefererad karta.tif", "S 3340-2023")</f>
        <v/>
      </c>
      <c r="AA8">
        <f>HYPERLINK("https://klasma.github.io/Logging_1470/klagomål/S 3340-2023 FSC-klagomål.docx", "S 3340-2023")</f>
        <v/>
      </c>
      <c r="AB8">
        <f>HYPERLINK("https://klasma.github.io/Logging_1470/klagomålsmail/S 3340-2023 FSC-klagomål mail.docx", "S 3340-2023")</f>
        <v/>
      </c>
      <c r="AC8">
        <f>HYPERLINK("https://klasma.github.io/Logging_1470/tillsyn/S 3340-2023 tillsynsbegäran.docx", "S 3340-2023")</f>
        <v/>
      </c>
      <c r="AD8">
        <f>HYPERLINK("https://klasma.github.io/Logging_1470/tillsynsmail/S 3340-2023 tillsynsbegäran mail.docx", "S 3340-2023")</f>
        <v/>
      </c>
    </row>
    <row r="9" ht="15" customHeight="1">
      <c r="A9" t="inlineStr">
        <is>
          <t>A 52982-2022</t>
        </is>
      </c>
      <c r="B9" t="inlineStr">
        <is>
          <t>avverkningsanmälan</t>
        </is>
      </c>
      <c r="C9" t="inlineStr">
        <is>
          <t>Föryngringsavverkning</t>
        </is>
      </c>
      <c r="D9" s="1" t="n">
        <v>44875</v>
      </c>
      <c r="E9" s="1" t="n">
        <v>46316</v>
      </c>
      <c r="F9" t="inlineStr">
        <is>
          <t>VÄSTRA GÖTALANDS LÄN</t>
        </is>
      </c>
      <c r="G9" t="inlineStr">
        <is>
          <t>VARA</t>
        </is>
      </c>
      <c r="I9" t="n">
        <v>3.6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s="2" t="inlineStr"/>
    </row>
    <row r="10" ht="15" customHeight="1">
      <c r="A10" t="inlineStr">
        <is>
          <t>A 6287-2022</t>
        </is>
      </c>
      <c r="B10" t="inlineStr">
        <is>
          <t>avverkningsanmälan</t>
        </is>
      </c>
      <c r="C10" t="inlineStr">
        <is>
          <t>Föryngringsavverkning</t>
        </is>
      </c>
      <c r="D10" s="1" t="n">
        <v>44600</v>
      </c>
      <c r="E10" s="1" t="n">
        <v>46316</v>
      </c>
      <c r="F10" t="inlineStr">
        <is>
          <t>VÄSTRA GÖTALANDS LÄN</t>
        </is>
      </c>
      <c r="G10" t="inlineStr">
        <is>
          <t>VARA</t>
        </is>
      </c>
      <c r="H10" t="inlineStr">
        <is>
          <t>Sveaskog</t>
        </is>
      </c>
      <c r="I10" t="n">
        <v>0.5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s="2" t="inlineStr"/>
    </row>
    <row r="11" ht="15" customHeight="1">
      <c r="A11" t="inlineStr">
        <is>
          <t>A 32481-2022</t>
        </is>
      </c>
      <c r="B11" t="inlineStr">
        <is>
          <t>avverkningsanmälan</t>
        </is>
      </c>
      <c r="C11" t="inlineStr">
        <is>
          <t>Föryngringsavverkning</t>
        </is>
      </c>
      <c r="D11" s="1" t="n">
        <v>44782</v>
      </c>
      <c r="E11" s="1" t="n">
        <v>46316</v>
      </c>
      <c r="F11" t="inlineStr">
        <is>
          <t>VÄSTRA GÖTALANDS LÄN</t>
        </is>
      </c>
      <c r="G11" t="inlineStr">
        <is>
          <t>VARA</t>
        </is>
      </c>
      <c r="I11" t="n">
        <v>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s="2" t="inlineStr"/>
    </row>
    <row r="12" ht="15" customHeight="1">
      <c r="A12" t="inlineStr">
        <is>
          <t>A 34906-2022</t>
        </is>
      </c>
      <c r="B12" t="inlineStr">
        <is>
          <t>avverkningsanmälan</t>
        </is>
      </c>
      <c r="C12" t="inlineStr">
        <is>
          <t>Föryngringsavverkning</t>
        </is>
      </c>
      <c r="D12" s="1" t="n">
        <v>44796</v>
      </c>
      <c r="E12" s="1" t="n">
        <v>46316</v>
      </c>
      <c r="F12" t="inlineStr">
        <is>
          <t>VÄSTRA GÖTALANDS LÄN</t>
        </is>
      </c>
      <c r="G12" t="inlineStr">
        <is>
          <t>VARA</t>
        </is>
      </c>
      <c r="I12" t="n">
        <v>0.9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s="2" t="inlineStr"/>
    </row>
    <row r="13" ht="15" customHeight="1">
      <c r="A13" t="inlineStr">
        <is>
          <t>A 9847-2022</t>
        </is>
      </c>
      <c r="B13" t="inlineStr">
        <is>
          <t>avverkningsanmälan</t>
        </is>
      </c>
      <c r="C13" t="inlineStr">
        <is>
          <t>Föryngringsavverkning</t>
        </is>
      </c>
      <c r="D13" s="1" t="n">
        <v>44620</v>
      </c>
      <c r="E13" s="1" t="n">
        <v>46316</v>
      </c>
      <c r="F13" t="inlineStr">
        <is>
          <t>VÄSTRA GÖTALANDS LÄN</t>
        </is>
      </c>
      <c r="G13" t="inlineStr">
        <is>
          <t>VARA</t>
        </is>
      </c>
      <c r="I13" t="n">
        <v>1.3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s="2" t="inlineStr"/>
    </row>
    <row r="14" ht="15" customHeight="1">
      <c r="A14" t="inlineStr">
        <is>
          <t>A 62540-2021</t>
        </is>
      </c>
      <c r="B14" t="inlineStr">
        <is>
          <t>avverkningsanmälan</t>
        </is>
      </c>
      <c r="C14" t="inlineStr">
        <is>
          <t>Föryngringsavverkning</t>
        </is>
      </c>
      <c r="D14" s="1" t="n">
        <v>44503</v>
      </c>
      <c r="E14" s="1" t="n">
        <v>46316</v>
      </c>
      <c r="F14" t="inlineStr">
        <is>
          <t>VÄSTRA GÖTALANDS LÄN</t>
        </is>
      </c>
      <c r="G14" t="inlineStr">
        <is>
          <t>VARA</t>
        </is>
      </c>
      <c r="I14" t="n">
        <v>1.6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s="2" t="inlineStr"/>
    </row>
    <row r="15" ht="15" customHeight="1">
      <c r="A15" t="inlineStr">
        <is>
          <t>A 10831-2022</t>
        </is>
      </c>
      <c r="B15" t="inlineStr">
        <is>
          <t>avverkningsanmälan</t>
        </is>
      </c>
      <c r="C15" t="inlineStr">
        <is>
          <t>Föryngringsavverkning</t>
        </is>
      </c>
      <c r="D15" s="1" t="n">
        <v>44627</v>
      </c>
      <c r="E15" s="1" t="n">
        <v>46316</v>
      </c>
      <c r="F15" t="inlineStr">
        <is>
          <t>VÄSTRA GÖTALANDS LÄN</t>
        </is>
      </c>
      <c r="G15" t="inlineStr">
        <is>
          <t>VARA</t>
        </is>
      </c>
      <c r="I15" t="n">
        <v>1.2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s="2" t="inlineStr"/>
    </row>
    <row r="16" ht="15" customHeight="1">
      <c r="A16" t="inlineStr">
        <is>
          <t>A 42438-2022</t>
        </is>
      </c>
      <c r="B16" t="inlineStr">
        <is>
          <t>avverkningsanmälan</t>
        </is>
      </c>
      <c r="C16" t="inlineStr">
        <is>
          <t>Föryngringsavverkning</t>
        </is>
      </c>
      <c r="D16" s="1" t="n">
        <v>44831</v>
      </c>
      <c r="E16" s="1" t="n">
        <v>46316</v>
      </c>
      <c r="F16" t="inlineStr">
        <is>
          <t>VÄSTRA GÖTALANDS LÄN</t>
        </is>
      </c>
      <c r="G16" t="inlineStr">
        <is>
          <t>VARA</t>
        </is>
      </c>
      <c r="I16" t="n">
        <v>5.3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s="2" t="inlineStr"/>
    </row>
    <row r="17" ht="15" customHeight="1">
      <c r="A17" t="inlineStr">
        <is>
          <t>A 50987-2022</t>
        </is>
      </c>
      <c r="B17" t="inlineStr">
        <is>
          <t>avverkningsanmälan</t>
        </is>
      </c>
      <c r="C17" t="inlineStr">
        <is>
          <t>Föryngringsavverkning</t>
        </is>
      </c>
      <c r="D17" s="1" t="n">
        <v>44867</v>
      </c>
      <c r="E17" s="1" t="n">
        <v>46316</v>
      </c>
      <c r="F17" t="inlineStr">
        <is>
          <t>VÄSTRA GÖTALANDS LÄN</t>
        </is>
      </c>
      <c r="G17" t="inlineStr">
        <is>
          <t>VARA</t>
        </is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s="2" t="inlineStr"/>
    </row>
    <row r="18" ht="15" customHeight="1">
      <c r="A18" t="inlineStr">
        <is>
          <t>A 46713-2022</t>
        </is>
      </c>
      <c r="B18" t="inlineStr">
        <is>
          <t>avverkningsanmälan</t>
        </is>
      </c>
      <c r="C18" t="inlineStr">
        <is>
          <t>Föryngringsavverkning</t>
        </is>
      </c>
      <c r="D18" s="1" t="n">
        <v>44851</v>
      </c>
      <c r="E18" s="1" t="n">
        <v>46316</v>
      </c>
      <c r="F18" t="inlineStr">
        <is>
          <t>VÄSTRA GÖTALANDS LÄN</t>
        </is>
      </c>
      <c r="G18" t="inlineStr">
        <is>
          <t>VARA</t>
        </is>
      </c>
      <c r="I18" t="n">
        <v>15.7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s="2" t="inlineStr"/>
    </row>
    <row r="19" ht="15" customHeight="1">
      <c r="A19" t="inlineStr">
        <is>
          <t>A 46930-2022</t>
        </is>
      </c>
      <c r="B19" t="inlineStr">
        <is>
          <t>avverkningsanmälan</t>
        </is>
      </c>
      <c r="C19" t="inlineStr">
        <is>
          <t>Föryngringsavverkning</t>
        </is>
      </c>
      <c r="D19" s="1" t="n">
        <v>44851</v>
      </c>
      <c r="E19" s="1" t="n">
        <v>46316</v>
      </c>
      <c r="F19" t="inlineStr">
        <is>
          <t>VÄSTRA GÖTALANDS LÄN</t>
        </is>
      </c>
      <c r="G19" t="inlineStr">
        <is>
          <t>VARA</t>
        </is>
      </c>
      <c r="I19" t="n">
        <v>0.4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s="2" t="inlineStr"/>
    </row>
    <row r="20" ht="15" customHeight="1">
      <c r="A20" t="inlineStr">
        <is>
          <t>A 3865-2022</t>
        </is>
      </c>
      <c r="B20" t="inlineStr">
        <is>
          <t>avverkningsanmälan</t>
        </is>
      </c>
      <c r="C20" t="inlineStr">
        <is>
          <t>Föryngringsavverkning</t>
        </is>
      </c>
      <c r="D20" s="1" t="n">
        <v>44587</v>
      </c>
      <c r="E20" s="1" t="n">
        <v>46316</v>
      </c>
      <c r="F20" t="inlineStr">
        <is>
          <t>VÄSTRA GÖTALANDS LÄN</t>
        </is>
      </c>
      <c r="G20" t="inlineStr">
        <is>
          <t>VARA</t>
        </is>
      </c>
      <c r="I20" t="n">
        <v>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s="2" t="inlineStr"/>
    </row>
    <row r="21" ht="15" customHeight="1">
      <c r="A21" t="inlineStr">
        <is>
          <t>A 62992-2021</t>
        </is>
      </c>
      <c r="B21" t="inlineStr">
        <is>
          <t>avverkningsanmälan</t>
        </is>
      </c>
      <c r="C21" t="inlineStr">
        <is>
          <t>Avverkning för annat ändamål</t>
        </is>
      </c>
      <c r="D21" s="1" t="n">
        <v>44504</v>
      </c>
      <c r="E21" s="1" t="n">
        <v>46316</v>
      </c>
      <c r="F21" t="inlineStr">
        <is>
          <t>VÄSTRA GÖTALANDS LÄN</t>
        </is>
      </c>
      <c r="G21" t="inlineStr">
        <is>
          <t>VARA</t>
        </is>
      </c>
      <c r="I21" t="n">
        <v>0.7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s="2" t="inlineStr"/>
    </row>
    <row r="22" ht="15" customHeight="1">
      <c r="A22" t="inlineStr">
        <is>
          <t>A 28253-2022</t>
        </is>
      </c>
      <c r="B22" t="inlineStr">
        <is>
          <t>avverkningsanmälan</t>
        </is>
      </c>
      <c r="C22" t="inlineStr">
        <is>
          <t>Föryngringsavverkning</t>
        </is>
      </c>
      <c r="D22" s="1" t="n">
        <v>44746</v>
      </c>
      <c r="E22" s="1" t="n">
        <v>46316</v>
      </c>
      <c r="F22" t="inlineStr">
        <is>
          <t>VÄSTRA GÖTALANDS LÄN</t>
        </is>
      </c>
      <c r="G22" t="inlineStr">
        <is>
          <t>VARA</t>
        </is>
      </c>
      <c r="I22" t="n">
        <v>0.6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s="2" t="inlineStr"/>
    </row>
    <row r="23" ht="15" customHeight="1">
      <c r="A23" t="inlineStr">
        <is>
          <t>A 46932-2022</t>
        </is>
      </c>
      <c r="B23" t="inlineStr">
        <is>
          <t>avverkningsanmälan</t>
        </is>
      </c>
      <c r="C23" t="inlineStr">
        <is>
          <t>Föryngringsavverkning</t>
        </is>
      </c>
      <c r="D23" s="1" t="n">
        <v>44851</v>
      </c>
      <c r="E23" s="1" t="n">
        <v>46316</v>
      </c>
      <c r="F23" t="inlineStr">
        <is>
          <t>VÄSTRA GÖTALANDS LÄN</t>
        </is>
      </c>
      <c r="G23" t="inlineStr">
        <is>
          <t>VARA</t>
        </is>
      </c>
      <c r="I23" t="n">
        <v>4.7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s="2" t="inlineStr"/>
    </row>
    <row r="24" ht="15" customHeight="1">
      <c r="A24" t="inlineStr">
        <is>
          <t>A 46933-2022</t>
        </is>
      </c>
      <c r="B24" t="inlineStr">
        <is>
          <t>avverkningsanmälan</t>
        </is>
      </c>
      <c r="C24" t="inlineStr">
        <is>
          <t>Föryngringsavverkning</t>
        </is>
      </c>
      <c r="D24" s="1" t="n">
        <v>44851</v>
      </c>
      <c r="E24" s="1" t="n">
        <v>46316</v>
      </c>
      <c r="F24" t="inlineStr">
        <is>
          <t>VÄSTRA GÖTALANDS LÄN</t>
        </is>
      </c>
      <c r="G24" t="inlineStr">
        <is>
          <t>VARA</t>
        </is>
      </c>
      <c r="I24" t="n">
        <v>0.4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s="2" t="inlineStr"/>
    </row>
    <row r="25" ht="15" customHeight="1">
      <c r="A25" t="inlineStr">
        <is>
          <t>A 50982-2022</t>
        </is>
      </c>
      <c r="B25" t="inlineStr">
        <is>
          <t>avverkningsanmälan</t>
        </is>
      </c>
      <c r="C25" t="inlineStr">
        <is>
          <t>Föryngringsavverkning</t>
        </is>
      </c>
      <c r="D25" s="1" t="n">
        <v>44867</v>
      </c>
      <c r="E25" s="1" t="n">
        <v>46316</v>
      </c>
      <c r="F25" t="inlineStr">
        <is>
          <t>VÄSTRA GÖTALANDS LÄN</t>
        </is>
      </c>
      <c r="G25" t="inlineStr">
        <is>
          <t>VARA</t>
        </is>
      </c>
      <c r="I25" t="n">
        <v>1.2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s="2" t="inlineStr"/>
    </row>
    <row r="26" ht="15" customHeight="1">
      <c r="A26" t="inlineStr">
        <is>
          <t>A 55043-2022</t>
        </is>
      </c>
      <c r="B26" t="inlineStr">
        <is>
          <t>avverkningsanmälan</t>
        </is>
      </c>
      <c r="C26" t="inlineStr">
        <is>
          <t>Avverkning för att bevara och utveckla /försöksver</t>
        </is>
      </c>
      <c r="D26" s="1" t="n">
        <v>44886</v>
      </c>
      <c r="E26" s="1" t="n">
        <v>46316</v>
      </c>
      <c r="F26" t="inlineStr">
        <is>
          <t>VÄSTRA GÖTALANDS LÄN</t>
        </is>
      </c>
      <c r="G26" t="inlineStr">
        <is>
          <t>VARA</t>
        </is>
      </c>
      <c r="H26" t="inlineStr">
        <is>
          <t>Sveaskog</t>
        </is>
      </c>
      <c r="I26" t="n">
        <v>3.7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s="2" t="inlineStr"/>
    </row>
    <row r="27" ht="15" customHeight="1">
      <c r="A27" t="inlineStr">
        <is>
          <t>A 21086-2022</t>
        </is>
      </c>
      <c r="B27" t="inlineStr">
        <is>
          <t>avverkningsanmälan</t>
        </is>
      </c>
      <c r="C27" t="inlineStr">
        <is>
          <t>Föryngringsavverkning</t>
        </is>
      </c>
      <c r="D27" s="1" t="n">
        <v>44704</v>
      </c>
      <c r="E27" s="1" t="n">
        <v>46316</v>
      </c>
      <c r="F27" t="inlineStr">
        <is>
          <t>VÄSTRA GÖTALANDS LÄN</t>
        </is>
      </c>
      <c r="G27" t="inlineStr">
        <is>
          <t>VARA</t>
        </is>
      </c>
      <c r="I27" t="n">
        <v>1.1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s="2" t="inlineStr"/>
    </row>
    <row r="28" ht="15" customHeight="1">
      <c r="A28" t="inlineStr">
        <is>
          <t>A 49047-2022</t>
        </is>
      </c>
      <c r="B28" t="inlineStr">
        <is>
          <t>avverkningsanmälan</t>
        </is>
      </c>
      <c r="C28" t="inlineStr">
        <is>
          <t>Föryngringsavverkning</t>
        </is>
      </c>
      <c r="D28" s="1" t="n">
        <v>44858</v>
      </c>
      <c r="E28" s="1" t="n">
        <v>46316</v>
      </c>
      <c r="F28" t="inlineStr">
        <is>
          <t>VÄSTRA GÖTALANDS LÄN</t>
        </is>
      </c>
      <c r="G28" t="inlineStr">
        <is>
          <t>VARA</t>
        </is>
      </c>
      <c r="I28" t="n">
        <v>1.3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s="2" t="inlineStr"/>
    </row>
    <row r="29" ht="15" customHeight="1">
      <c r="A29" t="inlineStr">
        <is>
          <t>A 50985-2022</t>
        </is>
      </c>
      <c r="B29" t="inlineStr">
        <is>
          <t>avverkningsanmälan</t>
        </is>
      </c>
      <c r="C29" t="inlineStr">
        <is>
          <t>Föryngringsavverkning</t>
        </is>
      </c>
      <c r="D29" s="1" t="n">
        <v>44867</v>
      </c>
      <c r="E29" s="1" t="n">
        <v>46316</v>
      </c>
      <c r="F29" t="inlineStr">
        <is>
          <t>VÄSTRA GÖTALANDS LÄN</t>
        </is>
      </c>
      <c r="G29" t="inlineStr">
        <is>
          <t>VARA</t>
        </is>
      </c>
      <c r="I29" t="n">
        <v>0.9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s="2" t="inlineStr"/>
    </row>
    <row r="30" ht="15" customHeight="1">
      <c r="A30" t="inlineStr">
        <is>
          <t>A 5174-2022</t>
        </is>
      </c>
      <c r="B30" t="inlineStr">
        <is>
          <t>avverkningsanmälan</t>
        </is>
      </c>
      <c r="C30" t="inlineStr">
        <is>
          <t>Föryngringsavverkning</t>
        </is>
      </c>
      <c r="D30" s="1" t="n">
        <v>44594</v>
      </c>
      <c r="E30" s="1" t="n">
        <v>46316</v>
      </c>
      <c r="F30" t="inlineStr">
        <is>
          <t>VÄSTRA GÖTALANDS LÄN</t>
        </is>
      </c>
      <c r="G30" t="inlineStr">
        <is>
          <t>VARA</t>
        </is>
      </c>
      <c r="I30" t="n">
        <v>1.9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s="2" t="inlineStr"/>
    </row>
    <row r="31" ht="15" customHeight="1">
      <c r="A31" t="inlineStr">
        <is>
          <t>A 50984-2022</t>
        </is>
      </c>
      <c r="B31" t="inlineStr">
        <is>
          <t>avverkningsanmälan</t>
        </is>
      </c>
      <c r="C31" t="inlineStr">
        <is>
          <t>Föryngringsavverkning</t>
        </is>
      </c>
      <c r="D31" s="1" t="n">
        <v>44867</v>
      </c>
      <c r="E31" s="1" t="n">
        <v>46316</v>
      </c>
      <c r="F31" t="inlineStr">
        <is>
          <t>VÄSTRA GÖTALANDS LÄN</t>
        </is>
      </c>
      <c r="G31" t="inlineStr">
        <is>
          <t>VARA</t>
        </is>
      </c>
      <c r="I31" t="n">
        <v>0.2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s="2" t="inlineStr"/>
    </row>
    <row r="32" ht="15" customHeight="1">
      <c r="A32" t="inlineStr">
        <is>
          <t>A 33171-2022</t>
        </is>
      </c>
      <c r="B32" t="inlineStr">
        <is>
          <t>avverkningsanmälan</t>
        </is>
      </c>
      <c r="C32" t="inlineStr">
        <is>
          <t>Föryngringsavverkning</t>
        </is>
      </c>
      <c r="D32" s="1" t="n">
        <v>44785</v>
      </c>
      <c r="E32" s="1" t="n">
        <v>46316</v>
      </c>
      <c r="F32" t="inlineStr">
        <is>
          <t>VÄSTRA GÖTALANDS LÄN</t>
        </is>
      </c>
      <c r="G32" t="inlineStr">
        <is>
          <t>VARA</t>
        </is>
      </c>
      <c r="I32" t="n">
        <v>0.4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s="2" t="inlineStr"/>
    </row>
    <row r="33" ht="15" customHeight="1">
      <c r="A33" t="inlineStr">
        <is>
          <t>A 10503-2022</t>
        </is>
      </c>
      <c r="B33" t="inlineStr">
        <is>
          <t>avverkningsanmälan</t>
        </is>
      </c>
      <c r="C33" t="inlineStr">
        <is>
          <t>Föryngringsavverkning</t>
        </is>
      </c>
      <c r="D33" s="1" t="n">
        <v>44623</v>
      </c>
      <c r="E33" s="1" t="n">
        <v>46316</v>
      </c>
      <c r="F33" t="inlineStr">
        <is>
          <t>VÄSTRA GÖTALANDS LÄN</t>
        </is>
      </c>
      <c r="G33" t="inlineStr">
        <is>
          <t>VARA</t>
        </is>
      </c>
      <c r="I33" t="n">
        <v>0.8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s="2" t="inlineStr"/>
    </row>
    <row r="34" ht="15" customHeight="1">
      <c r="A34" t="inlineStr">
        <is>
          <t>A 12173-2022</t>
        </is>
      </c>
      <c r="B34" t="inlineStr">
        <is>
          <t>avverkningsanmälan</t>
        </is>
      </c>
      <c r="C34" t="inlineStr">
        <is>
          <t>Föryngringsavverkning</t>
        </is>
      </c>
      <c r="D34" s="1" t="n">
        <v>44636</v>
      </c>
      <c r="E34" s="1" t="n">
        <v>46316</v>
      </c>
      <c r="F34" t="inlineStr">
        <is>
          <t>VÄSTRA GÖTALANDS LÄN</t>
        </is>
      </c>
      <c r="G34" t="inlineStr">
        <is>
          <t>VARA</t>
        </is>
      </c>
      <c r="I34" t="n">
        <v>1.6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s="2" t="inlineStr"/>
    </row>
    <row r="35" ht="15" customHeight="1">
      <c r="A35" t="inlineStr">
        <is>
          <t>A 12175-2022</t>
        </is>
      </c>
      <c r="B35" t="inlineStr">
        <is>
          <t>avverkningsanmälan</t>
        </is>
      </c>
      <c r="C35" t="inlineStr">
        <is>
          <t>Föryngringsavverkning</t>
        </is>
      </c>
      <c r="D35" s="1" t="n">
        <v>44636</v>
      </c>
      <c r="E35" s="1" t="n">
        <v>46316</v>
      </c>
      <c r="F35" t="inlineStr">
        <is>
          <t>VÄSTRA GÖTALANDS LÄN</t>
        </is>
      </c>
      <c r="G35" t="inlineStr">
        <is>
          <t>VARA</t>
        </is>
      </c>
      <c r="I35" t="n">
        <v>2.4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s="2" t="inlineStr"/>
    </row>
    <row r="36" ht="15" customHeight="1">
      <c r="A36" t="inlineStr">
        <is>
          <t>A 21085-2022</t>
        </is>
      </c>
      <c r="B36" t="inlineStr">
        <is>
          <t>avverkningsanmälan</t>
        </is>
      </c>
      <c r="C36" t="inlineStr">
        <is>
          <t>Föryngringsavverkning</t>
        </is>
      </c>
      <c r="D36" s="1" t="n">
        <v>44704</v>
      </c>
      <c r="E36" s="1" t="n">
        <v>46316</v>
      </c>
      <c r="F36" t="inlineStr">
        <is>
          <t>VÄSTRA GÖTALANDS LÄN</t>
        </is>
      </c>
      <c r="G36" t="inlineStr">
        <is>
          <t>VARA</t>
        </is>
      </c>
      <c r="I36" t="n">
        <v>1.5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s="2" t="inlineStr"/>
    </row>
    <row r="37" ht="15" customHeight="1">
      <c r="A37" t="inlineStr">
        <is>
          <t>A 9212-2022</t>
        </is>
      </c>
      <c r="B37" t="inlineStr">
        <is>
          <t>avverkningsanmälan</t>
        </is>
      </c>
      <c r="C37" t="inlineStr">
        <is>
          <t>Föryngringsavverkning</t>
        </is>
      </c>
      <c r="D37" s="1" t="n">
        <v>44616</v>
      </c>
      <c r="E37" s="1" t="n">
        <v>46316</v>
      </c>
      <c r="F37" t="inlineStr">
        <is>
          <t>VÄSTRA GÖTALANDS LÄN</t>
        </is>
      </c>
      <c r="G37" t="inlineStr">
        <is>
          <t>VARA</t>
        </is>
      </c>
      <c r="I37" t="n">
        <v>0.3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s="2" t="inlineStr"/>
    </row>
    <row r="38" ht="15" customHeight="1">
      <c r="A38" t="inlineStr">
        <is>
          <t>A 40224-2024</t>
        </is>
      </c>
      <c r="B38" t="inlineStr">
        <is>
          <t>avverkningsanmälan</t>
        </is>
      </c>
      <c r="C38" t="inlineStr">
        <is>
          <t>Föryngringsavverkning</t>
        </is>
      </c>
      <c r="D38" s="1" t="n">
        <v>45554</v>
      </c>
      <c r="E38" s="1" t="n">
        <v>46316</v>
      </c>
      <c r="F38" t="inlineStr">
        <is>
          <t>VÄSTRA GÖTALANDS LÄN</t>
        </is>
      </c>
      <c r="G38" t="inlineStr">
        <is>
          <t>VARA</t>
        </is>
      </c>
      <c r="H38" t="inlineStr">
        <is>
          <t>Kommuner</t>
        </is>
      </c>
      <c r="I38" t="n">
        <v>1.4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s="2" t="inlineStr"/>
    </row>
    <row r="39" ht="15" customHeight="1">
      <c r="A39" t="inlineStr">
        <is>
          <t>A 20443-2024</t>
        </is>
      </c>
      <c r="B39" t="inlineStr">
        <is>
          <t>avverkningsanmälan</t>
        </is>
      </c>
      <c r="C39" t="inlineStr">
        <is>
          <t>Föryngringsavverkning</t>
        </is>
      </c>
      <c r="D39" s="1" t="n">
        <v>45435</v>
      </c>
      <c r="E39" s="1" t="n">
        <v>46316</v>
      </c>
      <c r="F39" t="inlineStr">
        <is>
          <t>VÄSTRA GÖTALANDS LÄN</t>
        </is>
      </c>
      <c r="G39" t="inlineStr">
        <is>
          <t>VARA</t>
        </is>
      </c>
      <c r="I39" t="n">
        <v>0.1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s="2" t="inlineStr"/>
    </row>
    <row r="40" ht="15" customHeight="1">
      <c r="A40" t="inlineStr">
        <is>
          <t>A 9215-2024</t>
        </is>
      </c>
      <c r="B40" t="inlineStr">
        <is>
          <t>avverkningsanmälan</t>
        </is>
      </c>
      <c r="C40" t="inlineStr">
        <is>
          <t>Föryngringsavverkning</t>
        </is>
      </c>
      <c r="D40" s="1" t="n">
        <v>45358</v>
      </c>
      <c r="E40" s="1" t="n">
        <v>46316</v>
      </c>
      <c r="F40" t="inlineStr">
        <is>
          <t>VÄSTRA GÖTALANDS LÄN</t>
        </is>
      </c>
      <c r="G40" t="inlineStr">
        <is>
          <t>VARA</t>
        </is>
      </c>
      <c r="I40" t="n">
        <v>12.2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s="2" t="inlineStr"/>
    </row>
    <row r="41" ht="15" customHeight="1">
      <c r="A41" t="inlineStr">
        <is>
          <t>A 56856-2024</t>
        </is>
      </c>
      <c r="B41" t="inlineStr">
        <is>
          <t>avverkningsanmälan</t>
        </is>
      </c>
      <c r="C41" t="inlineStr">
        <is>
          <t>Föryngringsavverkning</t>
        </is>
      </c>
      <c r="D41" s="1" t="n">
        <v>45628</v>
      </c>
      <c r="E41" s="1" t="n">
        <v>46316</v>
      </c>
      <c r="F41" t="inlineStr">
        <is>
          <t>VÄSTRA GÖTALANDS LÄN</t>
        </is>
      </c>
      <c r="G41" t="inlineStr">
        <is>
          <t>VARA</t>
        </is>
      </c>
      <c r="I41" t="n">
        <v>1.2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s="2" t="inlineStr"/>
    </row>
    <row r="42" ht="15" customHeight="1">
      <c r="A42" t="inlineStr">
        <is>
          <t>A 31967-2024</t>
        </is>
      </c>
      <c r="B42" t="inlineStr">
        <is>
          <t>avverkningsanmälan</t>
        </is>
      </c>
      <c r="C42" t="inlineStr">
        <is>
          <t>Föryngringsavverkning</t>
        </is>
      </c>
      <c r="D42" s="1" t="n">
        <v>45510</v>
      </c>
      <c r="E42" s="1" t="n">
        <v>46316</v>
      </c>
      <c r="F42" t="inlineStr">
        <is>
          <t>VÄSTRA GÖTALANDS LÄN</t>
        </is>
      </c>
      <c r="G42" t="inlineStr">
        <is>
          <t>VARA</t>
        </is>
      </c>
      <c r="I42" t="n">
        <v>9.1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s="2" t="inlineStr"/>
    </row>
    <row r="43" ht="15" customHeight="1">
      <c r="A43" t="inlineStr">
        <is>
          <t>A 60543-2024</t>
        </is>
      </c>
      <c r="B43" t="inlineStr">
        <is>
          <t>avverkningsanmälan</t>
        </is>
      </c>
      <c r="C43" t="inlineStr">
        <is>
          <t>Föryngringsavverkning</t>
        </is>
      </c>
      <c r="D43" s="1" t="n">
        <v>45643</v>
      </c>
      <c r="E43" s="1" t="n">
        <v>46316</v>
      </c>
      <c r="F43" t="inlineStr">
        <is>
          <t>VÄSTRA GÖTALANDS LÄN</t>
        </is>
      </c>
      <c r="G43" t="inlineStr">
        <is>
          <t>VARA</t>
        </is>
      </c>
      <c r="I43" t="n">
        <v>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s="2" t="inlineStr"/>
    </row>
    <row r="44" ht="15" customHeight="1">
      <c r="A44" t="inlineStr">
        <is>
          <t>A 58514-2024</t>
        </is>
      </c>
      <c r="B44" t="inlineStr">
        <is>
          <t>avverkningsanmälan</t>
        </is>
      </c>
      <c r="C44" t="inlineStr">
        <is>
          <t>Föryngringsavverkning</t>
        </is>
      </c>
      <c r="D44" s="1" t="n">
        <v>45635</v>
      </c>
      <c r="E44" s="1" t="n">
        <v>46316</v>
      </c>
      <c r="F44" t="inlineStr">
        <is>
          <t>VÄSTRA GÖTALANDS LÄN</t>
        </is>
      </c>
      <c r="G44" t="inlineStr">
        <is>
          <t>VARA</t>
        </is>
      </c>
      <c r="I44" t="n">
        <v>4.5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s="2" t="inlineStr"/>
    </row>
    <row r="45" ht="15" customHeight="1">
      <c r="A45" t="inlineStr">
        <is>
          <t>A 13235-2024</t>
        </is>
      </c>
      <c r="B45" t="inlineStr">
        <is>
          <t>avverkningsanmälan</t>
        </is>
      </c>
      <c r="C45" t="inlineStr">
        <is>
          <t>Föryngringsavverkning</t>
        </is>
      </c>
      <c r="D45" s="1" t="n">
        <v>45386</v>
      </c>
      <c r="E45" s="1" t="n">
        <v>46316</v>
      </c>
      <c r="F45" t="inlineStr">
        <is>
          <t>VÄSTRA GÖTALANDS LÄN</t>
        </is>
      </c>
      <c r="G45" t="inlineStr">
        <is>
          <t>VARA</t>
        </is>
      </c>
      <c r="I45" t="n">
        <v>2.2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s="2" t="inlineStr"/>
    </row>
    <row r="46" ht="15" customHeight="1">
      <c r="A46" t="inlineStr">
        <is>
          <t>A 61687-2023</t>
        </is>
      </c>
      <c r="B46" t="inlineStr">
        <is>
          <t>avverkningsanmälan</t>
        </is>
      </c>
      <c r="C46" t="inlineStr">
        <is>
          <t>Föryngringsavverkning</t>
        </is>
      </c>
      <c r="D46" s="1" t="n">
        <v>45264</v>
      </c>
      <c r="E46" s="1" t="n">
        <v>46316</v>
      </c>
      <c r="F46" t="inlineStr">
        <is>
          <t>VÄSTRA GÖTALANDS LÄN</t>
        </is>
      </c>
      <c r="G46" t="inlineStr">
        <is>
          <t>VARA</t>
        </is>
      </c>
      <c r="I46" t="n">
        <v>3.2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s="2" t="inlineStr"/>
    </row>
    <row r="47" ht="15" customHeight="1">
      <c r="A47" t="inlineStr">
        <is>
          <t>A 7851-2023</t>
        </is>
      </c>
      <c r="B47" t="inlineStr">
        <is>
          <t>avverkningsanmälan</t>
        </is>
      </c>
      <c r="C47" t="inlineStr">
        <is>
          <t>Föryngringsavverkning</t>
        </is>
      </c>
      <c r="D47" s="1" t="n">
        <v>44973</v>
      </c>
      <c r="E47" s="1" t="n">
        <v>46316</v>
      </c>
      <c r="F47" t="inlineStr">
        <is>
          <t>VÄSTRA GÖTALANDS LÄN</t>
        </is>
      </c>
      <c r="G47" t="inlineStr">
        <is>
          <t>VARA</t>
        </is>
      </c>
      <c r="I47" t="n">
        <v>0.6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s="2" t="inlineStr"/>
    </row>
    <row r="48" ht="15" customHeight="1">
      <c r="A48" t="inlineStr">
        <is>
          <t>A 59259-2023</t>
        </is>
      </c>
      <c r="B48" t="inlineStr">
        <is>
          <t>avverkningsanmälan</t>
        </is>
      </c>
      <c r="C48" t="inlineStr">
        <is>
          <t>Föryngringsavverkning</t>
        </is>
      </c>
      <c r="D48" s="1" t="n">
        <v>45253</v>
      </c>
      <c r="E48" s="1" t="n">
        <v>46316</v>
      </c>
      <c r="F48" t="inlineStr">
        <is>
          <t>VÄSTRA GÖTALANDS LÄN</t>
        </is>
      </c>
      <c r="G48" t="inlineStr">
        <is>
          <t>VARA</t>
        </is>
      </c>
      <c r="I48" t="n">
        <v>2.5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s="2" t="inlineStr"/>
    </row>
    <row r="49" ht="15" customHeight="1">
      <c r="A49" t="inlineStr">
        <is>
          <t>A 59335-2023</t>
        </is>
      </c>
      <c r="B49" t="inlineStr">
        <is>
          <t>avverkningsanmälan</t>
        </is>
      </c>
      <c r="C49" t="inlineStr">
        <is>
          <t>Föryngringsavverkning</t>
        </is>
      </c>
      <c r="D49" s="1" t="n">
        <v>45253</v>
      </c>
      <c r="E49" s="1" t="n">
        <v>46316</v>
      </c>
      <c r="F49" t="inlineStr">
        <is>
          <t>VÄSTRA GÖTALANDS LÄN</t>
        </is>
      </c>
      <c r="G49" t="inlineStr">
        <is>
          <t>VARA</t>
        </is>
      </c>
      <c r="I49" t="n">
        <v>6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s="2" t="inlineStr"/>
    </row>
    <row r="50" ht="15" customHeight="1">
      <c r="A50" t="inlineStr">
        <is>
          <t>A 43615-2024</t>
        </is>
      </c>
      <c r="B50" t="inlineStr">
        <is>
          <t>avverkningsanmälan</t>
        </is>
      </c>
      <c r="C50" t="inlineStr">
        <is>
          <t>Föryngringsavverkning</t>
        </is>
      </c>
      <c r="D50" s="1" t="n">
        <v>45569</v>
      </c>
      <c r="E50" s="1" t="n">
        <v>46316</v>
      </c>
      <c r="F50" t="inlineStr">
        <is>
          <t>VÄSTRA GÖTALANDS LÄN</t>
        </is>
      </c>
      <c r="G50" t="inlineStr">
        <is>
          <t>VARA</t>
        </is>
      </c>
      <c r="H50" t="inlineStr">
        <is>
          <t>Kyrkan</t>
        </is>
      </c>
      <c r="I50" t="n">
        <v>2.6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s="2" t="inlineStr"/>
    </row>
    <row r="51" ht="15" customHeight="1">
      <c r="A51" t="inlineStr">
        <is>
          <t>A 9413-2024</t>
        </is>
      </c>
      <c r="B51" t="inlineStr">
        <is>
          <t>avverkningsanmälan</t>
        </is>
      </c>
      <c r="C51" t="inlineStr">
        <is>
          <t>Föryngringsavverkning</t>
        </is>
      </c>
      <c r="D51" s="1" t="n">
        <v>45359</v>
      </c>
      <c r="E51" s="1" t="n">
        <v>46316</v>
      </c>
      <c r="F51" t="inlineStr">
        <is>
          <t>VÄSTRA GÖTALANDS LÄN</t>
        </is>
      </c>
      <c r="G51" t="inlineStr">
        <is>
          <t>VARA</t>
        </is>
      </c>
      <c r="I51" t="n">
        <v>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s="2" t="inlineStr"/>
    </row>
    <row r="52" ht="15" customHeight="1">
      <c r="A52" t="inlineStr">
        <is>
          <t>A 9450-2024</t>
        </is>
      </c>
      <c r="B52" t="inlineStr">
        <is>
          <t>avverkningsanmälan</t>
        </is>
      </c>
      <c r="C52" t="inlineStr">
        <is>
          <t>Föryngringsavverkning</t>
        </is>
      </c>
      <c r="D52" s="1" t="n">
        <v>45358</v>
      </c>
      <c r="E52" s="1" t="n">
        <v>46316</v>
      </c>
      <c r="F52" t="inlineStr">
        <is>
          <t>VÄSTRA GÖTALANDS LÄN</t>
        </is>
      </c>
      <c r="G52" t="inlineStr">
        <is>
          <t>VARA</t>
        </is>
      </c>
      <c r="I52" t="n">
        <v>4.1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s="2" t="inlineStr"/>
    </row>
    <row r="53" ht="15" customHeight="1">
      <c r="A53" t="inlineStr">
        <is>
          <t>A 9098-2025</t>
        </is>
      </c>
      <c r="B53" t="inlineStr">
        <is>
          <t>avverkningsanmälan</t>
        </is>
      </c>
      <c r="C53" t="inlineStr">
        <is>
          <t>Föryngringsavverkning</t>
        </is>
      </c>
      <c r="D53" s="1" t="n">
        <v>45713</v>
      </c>
      <c r="E53" s="1" t="n">
        <v>46316</v>
      </c>
      <c r="F53" t="inlineStr">
        <is>
          <t>VÄSTRA GÖTALANDS LÄN</t>
        </is>
      </c>
      <c r="G53" t="inlineStr">
        <is>
          <t>VARA</t>
        </is>
      </c>
      <c r="I53" t="n">
        <v>1.5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s="2" t="inlineStr"/>
    </row>
    <row r="54" ht="15" customHeight="1">
      <c r="A54" t="inlineStr">
        <is>
          <t>A 23669-2025</t>
        </is>
      </c>
      <c r="B54" t="inlineStr">
        <is>
          <t>avverkningsanmälan</t>
        </is>
      </c>
      <c r="C54" t="inlineStr">
        <is>
          <t>Föryngringsavverkning</t>
        </is>
      </c>
      <c r="D54" s="1" t="n">
        <v>45792</v>
      </c>
      <c r="E54" s="1" t="n">
        <v>46316</v>
      </c>
      <c r="F54" t="inlineStr">
        <is>
          <t>VÄSTRA GÖTALANDS LÄN</t>
        </is>
      </c>
      <c r="G54" t="inlineStr">
        <is>
          <t>VARA</t>
        </is>
      </c>
      <c r="I54" t="n">
        <v>1.2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s="2" t="inlineStr"/>
    </row>
    <row r="55" ht="15" customHeight="1">
      <c r="A55" t="inlineStr">
        <is>
          <t>A 23668-2025</t>
        </is>
      </c>
      <c r="B55" t="inlineStr">
        <is>
          <t>avverkningsanmälan</t>
        </is>
      </c>
      <c r="C55" t="inlineStr">
        <is>
          <t>Föryngringsavverkning</t>
        </is>
      </c>
      <c r="D55" s="1" t="n">
        <v>45792</v>
      </c>
      <c r="E55" s="1" t="n">
        <v>46316</v>
      </c>
      <c r="F55" t="inlineStr">
        <is>
          <t>VÄSTRA GÖTALANDS LÄN</t>
        </is>
      </c>
      <c r="G55" t="inlineStr">
        <is>
          <t>VARA</t>
        </is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s="2" t="inlineStr"/>
    </row>
    <row r="56" ht="15" customHeight="1">
      <c r="A56" t="inlineStr">
        <is>
          <t>A 9058-2025</t>
        </is>
      </c>
      <c r="B56" t="inlineStr">
        <is>
          <t>avverkningsanmälan</t>
        </is>
      </c>
      <c r="C56" t="inlineStr">
        <is>
          <t>Föryngringsavverkning</t>
        </is>
      </c>
      <c r="D56" s="1" t="n">
        <v>45713</v>
      </c>
      <c r="E56" s="1" t="n">
        <v>46316</v>
      </c>
      <c r="F56" t="inlineStr">
        <is>
          <t>VÄSTRA GÖTALANDS LÄN</t>
        </is>
      </c>
      <c r="G56" t="inlineStr">
        <is>
          <t>VARA</t>
        </is>
      </c>
      <c r="I56" t="n">
        <v>1.1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s="2" t="inlineStr"/>
    </row>
    <row r="57" ht="15" customHeight="1">
      <c r="A57" t="inlineStr">
        <is>
          <t>A 4303-2025</t>
        </is>
      </c>
      <c r="B57" t="inlineStr">
        <is>
          <t>avverkningsanmälan</t>
        </is>
      </c>
      <c r="C57" t="inlineStr">
        <is>
          <t>Föryngringsavverkning</t>
        </is>
      </c>
      <c r="D57" s="1" t="n">
        <v>45685</v>
      </c>
      <c r="E57" s="1" t="n">
        <v>46316</v>
      </c>
      <c r="F57" t="inlineStr">
        <is>
          <t>VÄSTRA GÖTALANDS LÄN</t>
        </is>
      </c>
      <c r="G57" t="inlineStr">
        <is>
          <t>VARA</t>
        </is>
      </c>
      <c r="I57" t="n">
        <v>1.4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s="2" t="inlineStr"/>
    </row>
    <row r="58" ht="15" customHeight="1">
      <c r="A58" t="inlineStr">
        <is>
          <t>A 48908-2024</t>
        </is>
      </c>
      <c r="B58" t="inlineStr">
        <is>
          <t>avverkningsanmälan</t>
        </is>
      </c>
      <c r="C58" t="inlineStr">
        <is>
          <t>Föryngringsavverkning</t>
        </is>
      </c>
      <c r="D58" s="1" t="n">
        <v>45594</v>
      </c>
      <c r="E58" s="1" t="n">
        <v>46316</v>
      </c>
      <c r="F58" t="inlineStr">
        <is>
          <t>VÄSTRA GÖTALANDS LÄN</t>
        </is>
      </c>
      <c r="G58" t="inlineStr">
        <is>
          <t>VARA</t>
        </is>
      </c>
      <c r="I58" t="n">
        <v>1.8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s="2" t="inlineStr"/>
    </row>
    <row r="59" ht="15" customHeight="1">
      <c r="A59" t="inlineStr">
        <is>
          <t>A 35588-2023</t>
        </is>
      </c>
      <c r="B59" t="inlineStr">
        <is>
          <t>avverkningsanmälan</t>
        </is>
      </c>
      <c r="C59" t="inlineStr">
        <is>
          <t>Föryngringsavverkning</t>
        </is>
      </c>
      <c r="D59" s="1" t="n">
        <v>45146</v>
      </c>
      <c r="E59" s="1" t="n">
        <v>46316</v>
      </c>
      <c r="F59" t="inlineStr">
        <is>
          <t>VÄSTRA GÖTALANDS LÄN</t>
        </is>
      </c>
      <c r="G59" t="inlineStr">
        <is>
          <t>VARA</t>
        </is>
      </c>
      <c r="I59" t="n">
        <v>1.9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s="2" t="inlineStr"/>
    </row>
    <row r="60" ht="15" customHeight="1">
      <c r="A60" t="inlineStr">
        <is>
          <t>A 71326-2021</t>
        </is>
      </c>
      <c r="B60" t="inlineStr">
        <is>
          <t>avverkningsanmälan</t>
        </is>
      </c>
      <c r="C60" t="inlineStr">
        <is>
          <t>Föryngringsavverkning</t>
        </is>
      </c>
      <c r="D60" s="1" t="n">
        <v>44539</v>
      </c>
      <c r="E60" s="1" t="n">
        <v>46316</v>
      </c>
      <c r="F60" t="inlineStr">
        <is>
          <t>VÄSTRA GÖTALANDS LÄN</t>
        </is>
      </c>
      <c r="G60" t="inlineStr">
        <is>
          <t>VARA</t>
        </is>
      </c>
      <c r="I60" t="n">
        <v>4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s="2" t="inlineStr"/>
    </row>
    <row r="61" ht="15" customHeight="1">
      <c r="A61" t="inlineStr">
        <is>
          <t>A 4289-2025</t>
        </is>
      </c>
      <c r="B61" t="inlineStr">
        <is>
          <t>avverkningsanmälan</t>
        </is>
      </c>
      <c r="C61" t="inlineStr">
        <is>
          <t>Föryngringsavverkning</t>
        </is>
      </c>
      <c r="D61" s="1" t="n">
        <v>45685</v>
      </c>
      <c r="E61" s="1" t="n">
        <v>46316</v>
      </c>
      <c r="F61" t="inlineStr">
        <is>
          <t>VÄSTRA GÖTALANDS LÄN</t>
        </is>
      </c>
      <c r="G61" t="inlineStr">
        <is>
          <t>VARA</t>
        </is>
      </c>
      <c r="I61" t="n">
        <v>1.9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s="2" t="inlineStr"/>
    </row>
    <row r="62" ht="15" customHeight="1">
      <c r="A62" t="inlineStr">
        <is>
          <t>A 1152-2023</t>
        </is>
      </c>
      <c r="B62" t="inlineStr">
        <is>
          <t>avverkningsanmälan</t>
        </is>
      </c>
      <c r="C62" t="inlineStr">
        <is>
          <t>Föryngringsavverkning</t>
        </is>
      </c>
      <c r="D62" s="1" t="n">
        <v>44935</v>
      </c>
      <c r="E62" s="1" t="n">
        <v>46316</v>
      </c>
      <c r="F62" t="inlineStr">
        <is>
          <t>VÄSTRA GÖTALANDS LÄN</t>
        </is>
      </c>
      <c r="G62" t="inlineStr">
        <is>
          <t>VARA</t>
        </is>
      </c>
      <c r="I62" t="n">
        <v>0.4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s="2" t="inlineStr"/>
    </row>
    <row r="63" ht="15" customHeight="1">
      <c r="A63" t="inlineStr">
        <is>
          <t>A 33099-2025</t>
        </is>
      </c>
      <c r="B63" t="inlineStr">
        <is>
          <t>avverkningsanmälan</t>
        </is>
      </c>
      <c r="C63" t="inlineStr">
        <is>
          <t>Föryngringsavverkning</t>
        </is>
      </c>
      <c r="D63" s="1" t="n">
        <v>45840</v>
      </c>
      <c r="E63" s="1" t="n">
        <v>46316</v>
      </c>
      <c r="F63" t="inlineStr">
        <is>
          <t>VÄSTRA GÖTALANDS LÄN</t>
        </is>
      </c>
      <c r="G63" t="inlineStr">
        <is>
          <t>VARA</t>
        </is>
      </c>
      <c r="I63" t="n">
        <v>0.7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s="2" t="inlineStr"/>
    </row>
    <row r="64" ht="15" customHeight="1">
      <c r="A64" t="inlineStr">
        <is>
          <t>A 73168-2021</t>
        </is>
      </c>
      <c r="B64" t="inlineStr">
        <is>
          <t>avverkningsanmälan</t>
        </is>
      </c>
      <c r="C64" t="inlineStr">
        <is>
          <t>Föryngringsavverkning</t>
        </is>
      </c>
      <c r="D64" s="1" t="n">
        <v>44550</v>
      </c>
      <c r="E64" s="1" t="n">
        <v>46316</v>
      </c>
      <c r="F64" t="inlineStr">
        <is>
          <t>VÄSTRA GÖTALANDS LÄN</t>
        </is>
      </c>
      <c r="G64" t="inlineStr">
        <is>
          <t>VARA</t>
        </is>
      </c>
      <c r="I64" t="n">
        <v>1.7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s="2" t="inlineStr"/>
    </row>
    <row r="65" ht="15" customHeight="1">
      <c r="A65" t="inlineStr">
        <is>
          <t>A 27856-2024</t>
        </is>
      </c>
      <c r="B65" t="inlineStr">
        <is>
          <t>avverkningsanmälan</t>
        </is>
      </c>
      <c r="C65" t="inlineStr">
        <is>
          <t>Föryngringsavverkning</t>
        </is>
      </c>
      <c r="D65" s="1" t="n">
        <v>45475</v>
      </c>
      <c r="E65" s="1" t="n">
        <v>46316</v>
      </c>
      <c r="F65" t="inlineStr">
        <is>
          <t>VÄSTRA GÖTALANDS LÄN</t>
        </is>
      </c>
      <c r="G65" t="inlineStr">
        <is>
          <t>VARA</t>
        </is>
      </c>
      <c r="I65" t="n">
        <v>4.5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s="2" t="inlineStr"/>
    </row>
    <row r="66" ht="15" customHeight="1">
      <c r="A66" t="inlineStr">
        <is>
          <t>A 54201-2023</t>
        </is>
      </c>
      <c r="B66" t="inlineStr">
        <is>
          <t>avverkningsanmälan</t>
        </is>
      </c>
      <c r="C66" t="inlineStr">
        <is>
          <t>Föryngringsavverkning</t>
        </is>
      </c>
      <c r="D66" s="1" t="n">
        <v>45232</v>
      </c>
      <c r="E66" s="1" t="n">
        <v>46316</v>
      </c>
      <c r="F66" t="inlineStr">
        <is>
          <t>VÄSTRA GÖTALANDS LÄN</t>
        </is>
      </c>
      <c r="G66" t="inlineStr">
        <is>
          <t>VARA</t>
        </is>
      </c>
      <c r="I66" t="n">
        <v>7.6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s="2" t="inlineStr"/>
    </row>
    <row r="67" ht="15" customHeight="1">
      <c r="A67" t="inlineStr">
        <is>
          <t>A 51398-2024</t>
        </is>
      </c>
      <c r="B67" t="inlineStr">
        <is>
          <t>avverkningsanmälan</t>
        </is>
      </c>
      <c r="C67" t="inlineStr">
        <is>
          <t>Föryngringsavverkning</t>
        </is>
      </c>
      <c r="D67" s="1" t="n">
        <v>45604</v>
      </c>
      <c r="E67" s="1" t="n">
        <v>46316</v>
      </c>
      <c r="F67" t="inlineStr">
        <is>
          <t>VÄSTRA GÖTALANDS LÄN</t>
        </is>
      </c>
      <c r="G67" t="inlineStr">
        <is>
          <t>VARA</t>
        </is>
      </c>
      <c r="I67" t="n">
        <v>4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s="2" t="inlineStr"/>
    </row>
    <row r="68" ht="15" customHeight="1">
      <c r="A68" t="inlineStr">
        <is>
          <t>A 27819-2024</t>
        </is>
      </c>
      <c r="B68" t="inlineStr">
        <is>
          <t>avverkningsanmälan</t>
        </is>
      </c>
      <c r="C68" t="inlineStr">
        <is>
          <t>Föryngringsavverkning</t>
        </is>
      </c>
      <c r="D68" s="1" t="n">
        <v>45475</v>
      </c>
      <c r="E68" s="1" t="n">
        <v>46316</v>
      </c>
      <c r="F68" t="inlineStr">
        <is>
          <t>VÄSTRA GÖTALANDS LÄN</t>
        </is>
      </c>
      <c r="G68" t="inlineStr">
        <is>
          <t>VARA</t>
        </is>
      </c>
      <c r="I68" t="n">
        <v>4.6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s="2" t="inlineStr"/>
    </row>
    <row r="69" ht="15" customHeight="1">
      <c r="A69" t="inlineStr">
        <is>
          <t>A 57313-2024</t>
        </is>
      </c>
      <c r="B69" t="inlineStr">
        <is>
          <t>avverkningsanmälan</t>
        </is>
      </c>
      <c r="C69" t="inlineStr">
        <is>
          <t>Föryngringsavverkning</t>
        </is>
      </c>
      <c r="D69" s="1" t="n">
        <v>45629</v>
      </c>
      <c r="E69" s="1" t="n">
        <v>46316</v>
      </c>
      <c r="F69" t="inlineStr">
        <is>
          <t>VÄSTRA GÖTALANDS LÄN</t>
        </is>
      </c>
      <c r="G69" t="inlineStr">
        <is>
          <t>VARA</t>
        </is>
      </c>
      <c r="I69" t="n">
        <v>1.2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s="2" t="inlineStr"/>
    </row>
    <row r="70" ht="15" customHeight="1">
      <c r="A70" t="inlineStr">
        <is>
          <t>A 57295-2024</t>
        </is>
      </c>
      <c r="B70" t="inlineStr">
        <is>
          <t>avverkningsanmälan</t>
        </is>
      </c>
      <c r="C70" t="inlineStr">
        <is>
          <t>Föryngringsavverkning</t>
        </is>
      </c>
      <c r="D70" s="1" t="n">
        <v>45629</v>
      </c>
      <c r="E70" s="1" t="n">
        <v>46316</v>
      </c>
      <c r="F70" t="inlineStr">
        <is>
          <t>VÄSTRA GÖTALANDS LÄN</t>
        </is>
      </c>
      <c r="G70" t="inlineStr">
        <is>
          <t>VARA</t>
        </is>
      </c>
      <c r="I70" t="n">
        <v>1.3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s="2" t="inlineStr"/>
    </row>
    <row r="71" ht="15" customHeight="1">
      <c r="A71" t="inlineStr">
        <is>
          <t>A 41331-2025</t>
        </is>
      </c>
      <c r="B71" t="inlineStr">
        <is>
          <t>avverkningsanmälan</t>
        </is>
      </c>
      <c r="C71" t="inlineStr">
        <is>
          <t>Föryngringsavverkning</t>
        </is>
      </c>
      <c r="D71" s="1" t="n">
        <v>45899</v>
      </c>
      <c r="E71" s="1" t="n">
        <v>46316</v>
      </c>
      <c r="F71" t="inlineStr">
        <is>
          <t>VÄSTRA GÖTALANDS LÄN</t>
        </is>
      </c>
      <c r="G71" t="inlineStr">
        <is>
          <t>VARA</t>
        </is>
      </c>
      <c r="I71" t="n">
        <v>1.5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s="2" t="inlineStr"/>
    </row>
    <row r="72" ht="15" customHeight="1">
      <c r="A72" t="inlineStr">
        <is>
          <t>A 41286-2025</t>
        </is>
      </c>
      <c r="B72" t="inlineStr">
        <is>
          <t>avverkningsanmälan</t>
        </is>
      </c>
      <c r="C72" t="inlineStr">
        <is>
          <t>Föryngringsavverkning</t>
        </is>
      </c>
      <c r="D72" s="1" t="n">
        <v>45898</v>
      </c>
      <c r="E72" s="1" t="n">
        <v>46316</v>
      </c>
      <c r="F72" t="inlineStr">
        <is>
          <t>VÄSTRA GÖTALANDS LÄN</t>
        </is>
      </c>
      <c r="G72" t="inlineStr">
        <is>
          <t>VARA</t>
        </is>
      </c>
      <c r="I72" t="n">
        <v>0.5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s="2" t="inlineStr"/>
    </row>
    <row r="73" ht="15" customHeight="1">
      <c r="A73" t="inlineStr">
        <is>
          <t>A 14593-2022</t>
        </is>
      </c>
      <c r="B73" t="inlineStr">
        <is>
          <t>avverkningsanmälan</t>
        </is>
      </c>
      <c r="C73" t="inlineStr">
        <is>
          <t>Föryngringsavverkning</t>
        </is>
      </c>
      <c r="D73" s="1" t="n">
        <v>44655</v>
      </c>
      <c r="E73" s="1" t="n">
        <v>46316</v>
      </c>
      <c r="F73" t="inlineStr">
        <is>
          <t>VÄSTRA GÖTALANDS LÄN</t>
        </is>
      </c>
      <c r="G73" t="inlineStr">
        <is>
          <t>VARA</t>
        </is>
      </c>
      <c r="I73" t="n">
        <v>1.8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s="2" t="inlineStr"/>
    </row>
    <row r="74" ht="15" customHeight="1">
      <c r="A74" t="inlineStr">
        <is>
          <t>A 22901-2024</t>
        </is>
      </c>
      <c r="B74" t="inlineStr">
        <is>
          <t>avverkningsanmälan</t>
        </is>
      </c>
      <c r="C74" t="inlineStr">
        <is>
          <t>Föryngringsavverkning</t>
        </is>
      </c>
      <c r="D74" s="1" t="n">
        <v>45448</v>
      </c>
      <c r="E74" s="1" t="n">
        <v>46316</v>
      </c>
      <c r="F74" t="inlineStr">
        <is>
          <t>VÄSTRA GÖTALANDS LÄN</t>
        </is>
      </c>
      <c r="G74" t="inlineStr">
        <is>
          <t>VARA</t>
        </is>
      </c>
      <c r="I74" t="n">
        <v>0.7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s="2" t="inlineStr"/>
    </row>
    <row r="75" ht="15" customHeight="1">
      <c r="A75" t="inlineStr">
        <is>
          <t>A 20465-2024</t>
        </is>
      </c>
      <c r="B75" t="inlineStr">
        <is>
          <t>avverkningsanmälan</t>
        </is>
      </c>
      <c r="C75" t="inlineStr">
        <is>
          <t>Föryngringsavverkning</t>
        </is>
      </c>
      <c r="D75" s="1" t="n">
        <v>45435</v>
      </c>
      <c r="E75" s="1" t="n">
        <v>46316</v>
      </c>
      <c r="F75" t="inlineStr">
        <is>
          <t>VÄSTRA GÖTALANDS LÄN</t>
        </is>
      </c>
      <c r="G75" t="inlineStr">
        <is>
          <t>VARA</t>
        </is>
      </c>
      <c r="I75" t="n">
        <v>0.2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s="2" t="inlineStr"/>
    </row>
    <row r="76" ht="15" customHeight="1">
      <c r="A76" t="inlineStr">
        <is>
          <t>A 59527-2024</t>
        </is>
      </c>
      <c r="B76" t="inlineStr">
        <is>
          <t>avverkningsanmälan</t>
        </is>
      </c>
      <c r="C76" t="inlineStr">
        <is>
          <t>Föryngringsavverkning</t>
        </is>
      </c>
      <c r="D76" s="1" t="n">
        <v>45638</v>
      </c>
      <c r="E76" s="1" t="n">
        <v>46316</v>
      </c>
      <c r="F76" t="inlineStr">
        <is>
          <t>VÄSTRA GÖTALANDS LÄN</t>
        </is>
      </c>
      <c r="G76" t="inlineStr">
        <is>
          <t>VARA</t>
        </is>
      </c>
      <c r="I76" t="n">
        <v>2.8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s="2" t="inlineStr"/>
    </row>
    <row r="77" ht="15" customHeight="1">
      <c r="A77" t="inlineStr">
        <is>
          <t>A 12009-2025</t>
        </is>
      </c>
      <c r="B77" t="inlineStr">
        <is>
          <t>avverkningsanmälan</t>
        </is>
      </c>
      <c r="C77" t="inlineStr">
        <is>
          <t>Avverkning för annat ändamål</t>
        </is>
      </c>
      <c r="D77" s="1" t="n">
        <v>45728</v>
      </c>
      <c r="E77" s="1" t="n">
        <v>46316</v>
      </c>
      <c r="F77" t="inlineStr">
        <is>
          <t>VÄSTRA GÖTALANDS LÄN</t>
        </is>
      </c>
      <c r="G77" t="inlineStr">
        <is>
          <t>VARA</t>
        </is>
      </c>
      <c r="I77" t="n">
        <v>3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s="2" t="inlineStr"/>
    </row>
    <row r="78" ht="15" customHeight="1">
      <c r="A78" t="inlineStr">
        <is>
          <t>A 42920-2025</t>
        </is>
      </c>
      <c r="B78" t="inlineStr">
        <is>
          <t>avverkningsanmälan</t>
        </is>
      </c>
      <c r="C78" t="inlineStr">
        <is>
          <t>Föryngringsavverkning</t>
        </is>
      </c>
      <c r="D78" s="1" t="n">
        <v>45908</v>
      </c>
      <c r="E78" s="1" t="n">
        <v>46316</v>
      </c>
      <c r="F78" t="inlineStr">
        <is>
          <t>VÄSTRA GÖTALANDS LÄN</t>
        </is>
      </c>
      <c r="G78" t="inlineStr">
        <is>
          <t>VARA</t>
        </is>
      </c>
      <c r="I78" t="n">
        <v>0.2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s="2" t="inlineStr"/>
    </row>
    <row r="79" ht="15" customHeight="1">
      <c r="A79" t="inlineStr">
        <is>
          <t>A 2867-2026</t>
        </is>
      </c>
      <c r="B79" t="inlineStr">
        <is>
          <t>avverkningsanmälan</t>
        </is>
      </c>
      <c r="C79" t="inlineStr">
        <is>
          <t>Föryngringsavverkning</t>
        </is>
      </c>
      <c r="D79" s="1" t="n">
        <v>46038</v>
      </c>
      <c r="E79" s="1" t="n">
        <v>46316</v>
      </c>
      <c r="F79" t="inlineStr">
        <is>
          <t>VÄSTRA GÖTALANDS LÄN</t>
        </is>
      </c>
      <c r="G79" t="inlineStr">
        <is>
          <t>VARA</t>
        </is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s="2" t="inlineStr"/>
    </row>
    <row r="80" ht="15" customHeight="1">
      <c r="A80" t="inlineStr">
        <is>
          <t>A 57255-2022</t>
        </is>
      </c>
      <c r="B80" t="inlineStr">
        <is>
          <t>avverkningsanmälan</t>
        </is>
      </c>
      <c r="C80" t="inlineStr">
        <is>
          <t>Föryngringsavverkning</t>
        </is>
      </c>
      <c r="D80" s="1" t="n">
        <v>44895</v>
      </c>
      <c r="E80" s="1" t="n">
        <v>46316</v>
      </c>
      <c r="F80" t="inlineStr">
        <is>
          <t>VÄSTRA GÖTALANDS LÄN</t>
        </is>
      </c>
      <c r="G80" t="inlineStr">
        <is>
          <t>VARA</t>
        </is>
      </c>
      <c r="I80" t="n">
        <v>1.1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s="2" t="inlineStr"/>
    </row>
    <row r="81" ht="15" customHeight="1">
      <c r="A81" t="inlineStr">
        <is>
          <t>A 31260-2022</t>
        </is>
      </c>
      <c r="B81" t="inlineStr">
        <is>
          <t>avverkningsanmälan</t>
        </is>
      </c>
      <c r="C81" t="inlineStr">
        <is>
          <t>Föryngringsavverkning</t>
        </is>
      </c>
      <c r="D81" s="1" t="n">
        <v>44771</v>
      </c>
      <c r="E81" s="1" t="n">
        <v>46316</v>
      </c>
      <c r="F81" t="inlineStr">
        <is>
          <t>VÄSTRA GÖTALANDS LÄN</t>
        </is>
      </c>
      <c r="G81" t="inlineStr">
        <is>
          <t>VARA</t>
        </is>
      </c>
      <c r="I81" t="n">
        <v>1.1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s="2" t="inlineStr"/>
    </row>
    <row r="82" ht="15" customHeight="1">
      <c r="A82" t="inlineStr">
        <is>
          <t>A 14116-2025</t>
        </is>
      </c>
      <c r="B82" t="inlineStr">
        <is>
          <t>avverkningsanmälan</t>
        </is>
      </c>
      <c r="C82" t="inlineStr">
        <is>
          <t>Avverkning för annat ändamål</t>
        </is>
      </c>
      <c r="D82" s="1" t="n">
        <v>45740</v>
      </c>
      <c r="E82" s="1" t="n">
        <v>46316</v>
      </c>
      <c r="F82" t="inlineStr">
        <is>
          <t>VÄSTRA GÖTALANDS LÄN</t>
        </is>
      </c>
      <c r="G82" t="inlineStr">
        <is>
          <t>VARA</t>
        </is>
      </c>
      <c r="I82" t="n">
        <v>3.4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s="2" t="inlineStr"/>
    </row>
    <row r="83" ht="15" customHeight="1">
      <c r="A83" t="inlineStr">
        <is>
          <t>A 35056-2023</t>
        </is>
      </c>
      <c r="B83" t="inlineStr">
        <is>
          <t>avverkningsanmälan</t>
        </is>
      </c>
      <c r="C83" t="inlineStr">
        <is>
          <t>Föryngringsavverkning</t>
        </is>
      </c>
      <c r="D83" s="1" t="n">
        <v>45142</v>
      </c>
      <c r="E83" s="1" t="n">
        <v>46316</v>
      </c>
      <c r="F83" t="inlineStr">
        <is>
          <t>VÄSTRA GÖTALANDS LÄN</t>
        </is>
      </c>
      <c r="G83" t="inlineStr">
        <is>
          <t>VARA</t>
        </is>
      </c>
      <c r="I83" t="n">
        <v>7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s="2" t="inlineStr"/>
    </row>
    <row r="84" ht="15" customHeight="1">
      <c r="A84" t="inlineStr">
        <is>
          <t>A 44947-2024</t>
        </is>
      </c>
      <c r="B84" t="inlineStr">
        <is>
          <t>avverkningsanmälan</t>
        </is>
      </c>
      <c r="C84" t="inlineStr">
        <is>
          <t>Föryngringsavverkning</t>
        </is>
      </c>
      <c r="D84" s="1" t="n">
        <v>45575</v>
      </c>
      <c r="E84" s="1" t="n">
        <v>46316</v>
      </c>
      <c r="F84" t="inlineStr">
        <is>
          <t>VÄSTRA GÖTALANDS LÄN</t>
        </is>
      </c>
      <c r="G84" t="inlineStr">
        <is>
          <t>VARA</t>
        </is>
      </c>
      <c r="H84" t="inlineStr">
        <is>
          <t>Sveaskog</t>
        </is>
      </c>
      <c r="I84" t="n">
        <v>2.3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s="2" t="inlineStr"/>
    </row>
    <row r="85" ht="15" customHeight="1">
      <c r="A85" t="inlineStr">
        <is>
          <t>A 40331-2022</t>
        </is>
      </c>
      <c r="B85" t="inlineStr">
        <is>
          <t>avverkningsanmälan</t>
        </is>
      </c>
      <c r="C85" t="inlineStr">
        <is>
          <t>Föryngringsavverkning</t>
        </is>
      </c>
      <c r="D85" s="1" t="n">
        <v>44823</v>
      </c>
      <c r="E85" s="1" t="n">
        <v>46316</v>
      </c>
      <c r="F85" t="inlineStr">
        <is>
          <t>VÄSTRA GÖTALANDS LÄN</t>
        </is>
      </c>
      <c r="G85" t="inlineStr">
        <is>
          <t>VARA</t>
        </is>
      </c>
      <c r="I85" t="n">
        <v>1.2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s="2" t="inlineStr"/>
    </row>
    <row r="86" ht="15" customHeight="1">
      <c r="A86" t="inlineStr">
        <is>
          <t>A 41690-2023</t>
        </is>
      </c>
      <c r="B86" t="inlineStr">
        <is>
          <t>avverkningsanmälan</t>
        </is>
      </c>
      <c r="C86" t="inlineStr">
        <is>
          <t>Föryngringsavverkning</t>
        </is>
      </c>
      <c r="D86" s="1" t="n">
        <v>45176</v>
      </c>
      <c r="E86" s="1" t="n">
        <v>46316</v>
      </c>
      <c r="F86" t="inlineStr">
        <is>
          <t>VÄSTRA GÖTALANDS LÄN</t>
        </is>
      </c>
      <c r="G86" t="inlineStr">
        <is>
          <t>VARA</t>
        </is>
      </c>
      <c r="I86" t="n">
        <v>0.8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s="2" t="inlineStr"/>
    </row>
    <row r="87" ht="15" customHeight="1">
      <c r="A87" t="inlineStr">
        <is>
          <t>A 8949-2026</t>
        </is>
      </c>
      <c r="B87" t="inlineStr">
        <is>
          <t>avverkningsanmälan</t>
        </is>
      </c>
      <c r="C87" t="inlineStr">
        <is>
          <t>Föryngringsavverkning</t>
        </is>
      </c>
      <c r="D87" s="1" t="n">
        <v>46069</v>
      </c>
      <c r="E87" s="1" t="n">
        <v>46316</v>
      </c>
      <c r="F87" t="inlineStr">
        <is>
          <t>VÄSTRA GÖTALANDS LÄN</t>
        </is>
      </c>
      <c r="G87" t="inlineStr">
        <is>
          <t>VARA</t>
        </is>
      </c>
      <c r="I87" t="n">
        <v>2.4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s="2" t="inlineStr"/>
    </row>
    <row r="88" ht="15" customHeight="1">
      <c r="A88" t="inlineStr">
        <is>
          <t>A 4434-2024</t>
        </is>
      </c>
      <c r="B88" t="inlineStr">
        <is>
          <t>avverkningsanmälan</t>
        </is>
      </c>
      <c r="C88" t="inlineStr">
        <is>
          <t>Föryngringsavverkning</t>
        </is>
      </c>
      <c r="D88" s="1" t="n">
        <v>45327</v>
      </c>
      <c r="E88" s="1" t="n">
        <v>46316</v>
      </c>
      <c r="F88" t="inlineStr">
        <is>
          <t>VÄSTRA GÖTALANDS LÄN</t>
        </is>
      </c>
      <c r="G88" t="inlineStr">
        <is>
          <t>VARA</t>
        </is>
      </c>
      <c r="I88" t="n">
        <v>3.6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s="2" t="inlineStr"/>
    </row>
    <row r="89" ht="15" customHeight="1">
      <c r="A89" t="inlineStr">
        <is>
          <t>A 53719-2023</t>
        </is>
      </c>
      <c r="B89" t="inlineStr">
        <is>
          <t>avverkningsanmälan</t>
        </is>
      </c>
      <c r="C89" t="inlineStr">
        <is>
          <t>Föryngringsavverkning</t>
        </is>
      </c>
      <c r="D89" s="1" t="n">
        <v>45230</v>
      </c>
      <c r="E89" s="1" t="n">
        <v>46316</v>
      </c>
      <c r="F89" t="inlineStr">
        <is>
          <t>VÄSTRA GÖTALANDS LÄN</t>
        </is>
      </c>
      <c r="G89" t="inlineStr">
        <is>
          <t>VARA</t>
        </is>
      </c>
      <c r="I89" t="n">
        <v>3.3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s="2" t="inlineStr"/>
    </row>
    <row r="90" ht="15" customHeight="1">
      <c r="A90" t="inlineStr">
        <is>
          <t>A 9881-2026</t>
        </is>
      </c>
      <c r="B90" t="inlineStr">
        <is>
          <t>avverkningsanmälan</t>
        </is>
      </c>
      <c r="C90" t="inlineStr">
        <is>
          <t>Föryngringsavverkning</t>
        </is>
      </c>
      <c r="D90" s="1" t="n">
        <v>46073</v>
      </c>
      <c r="E90" s="1" t="n">
        <v>46316</v>
      </c>
      <c r="F90" t="inlineStr">
        <is>
          <t>VÄSTRA GÖTALANDS LÄN</t>
        </is>
      </c>
      <c r="G90" t="inlineStr">
        <is>
          <t>VARA</t>
        </is>
      </c>
      <c r="I90" t="n">
        <v>5.5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s="2" t="inlineStr"/>
    </row>
    <row r="91" ht="15" customHeight="1">
      <c r="A91" t="inlineStr">
        <is>
          <t>A 9923-2026</t>
        </is>
      </c>
      <c r="B91" t="inlineStr">
        <is>
          <t>avverkningsanmälan</t>
        </is>
      </c>
      <c r="C91" t="inlineStr">
        <is>
          <t>Föryngringsavverkning</t>
        </is>
      </c>
      <c r="D91" s="1" t="n">
        <v>46073</v>
      </c>
      <c r="E91" s="1" t="n">
        <v>46316</v>
      </c>
      <c r="F91" t="inlineStr">
        <is>
          <t>VÄSTRA GÖTALANDS LÄN</t>
        </is>
      </c>
      <c r="G91" t="inlineStr">
        <is>
          <t>VARA</t>
        </is>
      </c>
      <c r="I91" t="n">
        <v>3.4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s="2" t="inlineStr"/>
    </row>
    <row r="92" ht="15" customHeight="1">
      <c r="A92" t="inlineStr">
        <is>
          <t>A 9925-2026</t>
        </is>
      </c>
      <c r="B92" t="inlineStr">
        <is>
          <t>avverkningsanmälan</t>
        </is>
      </c>
      <c r="C92" t="inlineStr">
        <is>
          <t>Föryngringsavverkning</t>
        </is>
      </c>
      <c r="D92" s="1" t="n">
        <v>46073</v>
      </c>
      <c r="E92" s="1" t="n">
        <v>46316</v>
      </c>
      <c r="F92" t="inlineStr">
        <is>
          <t>VÄSTRA GÖTALANDS LÄN</t>
        </is>
      </c>
      <c r="G92" t="inlineStr">
        <is>
          <t>VARA</t>
        </is>
      </c>
      <c r="I92" t="n">
        <v>9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s="2" t="inlineStr"/>
    </row>
    <row r="93" ht="15" customHeight="1">
      <c r="A93" t="inlineStr">
        <is>
          <t>A 9928-2026</t>
        </is>
      </c>
      <c r="B93" t="inlineStr">
        <is>
          <t>avverkningsanmälan</t>
        </is>
      </c>
      <c r="C93" t="inlineStr">
        <is>
          <t>Föryngringsavverkning</t>
        </is>
      </c>
      <c r="D93" s="1" t="n">
        <v>46073</v>
      </c>
      <c r="E93" s="1" t="n">
        <v>46316</v>
      </c>
      <c r="F93" t="inlineStr">
        <is>
          <t>VÄSTRA GÖTALANDS LÄN</t>
        </is>
      </c>
      <c r="G93" t="inlineStr">
        <is>
          <t>VARA</t>
        </is>
      </c>
      <c r="I93" t="n">
        <v>7.1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s="2" t="inlineStr"/>
    </row>
    <row r="94" ht="15" customHeight="1">
      <c r="A94" t="inlineStr">
        <is>
          <t>A 9919-2026</t>
        </is>
      </c>
      <c r="B94" t="inlineStr">
        <is>
          <t>avverkningsanmälan</t>
        </is>
      </c>
      <c r="C94" t="inlineStr">
        <is>
          <t>Föryngringsavverkning</t>
        </is>
      </c>
      <c r="D94" s="1" t="n">
        <v>46073</v>
      </c>
      <c r="E94" s="1" t="n">
        <v>46316</v>
      </c>
      <c r="F94" t="inlineStr">
        <is>
          <t>VÄSTRA GÖTALANDS LÄN</t>
        </is>
      </c>
      <c r="G94" t="inlineStr">
        <is>
          <t>VARA</t>
        </is>
      </c>
      <c r="I94" t="n">
        <v>2.9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s="2" t="inlineStr"/>
    </row>
    <row r="95" ht="15" customHeight="1">
      <c r="A95" t="inlineStr">
        <is>
          <t>A 50123-2025</t>
        </is>
      </c>
      <c r="B95" t="inlineStr">
        <is>
          <t>avverkningsanmälan</t>
        </is>
      </c>
      <c r="C95" t="inlineStr">
        <is>
          <t>Föryngringsavverkning</t>
        </is>
      </c>
      <c r="D95" s="1" t="n">
        <v>45943</v>
      </c>
      <c r="E95" s="1" t="n">
        <v>46316</v>
      </c>
      <c r="F95" t="inlineStr">
        <is>
          <t>VÄSTRA GÖTALANDS LÄN</t>
        </is>
      </c>
      <c r="G95" t="inlineStr">
        <is>
          <t>VARA</t>
        </is>
      </c>
      <c r="H95" t="inlineStr">
        <is>
          <t>Kyrkan</t>
        </is>
      </c>
      <c r="I95" t="n">
        <v>0.6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s="2" t="inlineStr"/>
    </row>
    <row r="96" ht="15" customHeight="1">
      <c r="A96" t="inlineStr">
        <is>
          <t>A 57253-2022</t>
        </is>
      </c>
      <c r="B96" t="inlineStr">
        <is>
          <t>avverkningsanmälan</t>
        </is>
      </c>
      <c r="C96" t="inlineStr">
        <is>
          <t>Föryngringsavverkning</t>
        </is>
      </c>
      <c r="D96" s="1" t="n">
        <v>44895</v>
      </c>
      <c r="E96" s="1" t="n">
        <v>46316</v>
      </c>
      <c r="F96" t="inlineStr">
        <is>
          <t>VÄSTRA GÖTALANDS LÄN</t>
        </is>
      </c>
      <c r="G96" t="inlineStr">
        <is>
          <t>VARA</t>
        </is>
      </c>
      <c r="I96" t="n">
        <v>1.6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s="2" t="inlineStr"/>
    </row>
    <row r="97" ht="15" customHeight="1">
      <c r="A97" t="inlineStr">
        <is>
          <t>A 4622-2025</t>
        </is>
      </c>
      <c r="B97" t="inlineStr">
        <is>
          <t>avverkningsanmälan</t>
        </is>
      </c>
      <c r="C97" t="inlineStr">
        <is>
          <t>Föryngringsavverkning</t>
        </is>
      </c>
      <c r="D97" s="1" t="n">
        <v>45687</v>
      </c>
      <c r="E97" s="1" t="n">
        <v>46316</v>
      </c>
      <c r="F97" t="inlineStr">
        <is>
          <t>VÄSTRA GÖTALANDS LÄN</t>
        </is>
      </c>
      <c r="G97" t="inlineStr">
        <is>
          <t>VARA</t>
        </is>
      </c>
      <c r="I97" t="n">
        <v>7.8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s="2" t="inlineStr"/>
    </row>
    <row r="98" ht="15" customHeight="1">
      <c r="A98" t="inlineStr">
        <is>
          <t>A 29814-2025</t>
        </is>
      </c>
      <c r="B98" t="inlineStr">
        <is>
          <t>avverkningsanmälan</t>
        </is>
      </c>
      <c r="C98" t="inlineStr">
        <is>
          <t>Föryngringsavverkning</t>
        </is>
      </c>
      <c r="D98" s="1" t="n">
        <v>45825</v>
      </c>
      <c r="E98" s="1" t="n">
        <v>46316</v>
      </c>
      <c r="F98" t="inlineStr">
        <is>
          <t>VÄSTRA GÖTALANDS LÄN</t>
        </is>
      </c>
      <c r="G98" t="inlineStr">
        <is>
          <t>VARA</t>
        </is>
      </c>
      <c r="I98" t="n">
        <v>2.1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s="2" t="inlineStr"/>
    </row>
    <row r="99" ht="15" customHeight="1">
      <c r="A99" t="inlineStr">
        <is>
          <t>A 51212-2025</t>
        </is>
      </c>
      <c r="B99" t="inlineStr">
        <is>
          <t>avverkningsanmälan</t>
        </is>
      </c>
      <c r="C99" t="inlineStr">
        <is>
          <t>Föryngringsavverkning</t>
        </is>
      </c>
      <c r="D99" s="1" t="n">
        <v>45947</v>
      </c>
      <c r="E99" s="1" t="n">
        <v>46316</v>
      </c>
      <c r="F99" t="inlineStr">
        <is>
          <t>VÄSTRA GÖTALANDS LÄN</t>
        </is>
      </c>
      <c r="G99" t="inlineStr">
        <is>
          <t>VARA</t>
        </is>
      </c>
      <c r="I99" t="n">
        <v>0.6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s="2" t="inlineStr"/>
    </row>
    <row r="100" ht="15" customHeight="1">
      <c r="A100" t="inlineStr">
        <is>
          <t>A 51218-2025</t>
        </is>
      </c>
      <c r="B100" t="inlineStr">
        <is>
          <t>avverkningsanmälan</t>
        </is>
      </c>
      <c r="C100" t="inlineStr">
        <is>
          <t>Föryngringsavverkning</t>
        </is>
      </c>
      <c r="D100" s="1" t="n">
        <v>45947</v>
      </c>
      <c r="E100" s="1" t="n">
        <v>46316</v>
      </c>
      <c r="F100" t="inlineStr">
        <is>
          <t>VÄSTRA GÖTALANDS LÄN</t>
        </is>
      </c>
      <c r="G100" t="inlineStr">
        <is>
          <t>VARA</t>
        </is>
      </c>
      <c r="I100" t="n">
        <v>0.2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s="2" t="inlineStr"/>
    </row>
    <row r="101" ht="15" customHeight="1">
      <c r="A101" t="inlineStr">
        <is>
          <t>A 12700-2026</t>
        </is>
      </c>
      <c r="B101" t="inlineStr">
        <is>
          <t>avverkningsanmälan</t>
        </is>
      </c>
      <c r="C101" t="inlineStr">
        <is>
          <t>Föryngringsavverkning</t>
        </is>
      </c>
      <c r="D101" s="1" t="n">
        <v>46091</v>
      </c>
      <c r="E101" s="1" t="n">
        <v>46316</v>
      </c>
      <c r="F101" t="inlineStr">
        <is>
          <t>VÄSTRA GÖTALANDS LÄN</t>
        </is>
      </c>
      <c r="G101" t="inlineStr">
        <is>
          <t>VARA</t>
        </is>
      </c>
      <c r="I101" t="n">
        <v>10.9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s="2" t="inlineStr"/>
    </row>
    <row r="102" ht="15" customHeight="1">
      <c r="A102" t="inlineStr">
        <is>
          <t>A 51206-2025</t>
        </is>
      </c>
      <c r="B102" t="inlineStr">
        <is>
          <t>avverkningsanmälan</t>
        </is>
      </c>
      <c r="C102" t="inlineStr">
        <is>
          <t>Föryngringsavverkning</t>
        </is>
      </c>
      <c r="D102" s="1" t="n">
        <v>45947</v>
      </c>
      <c r="E102" s="1" t="n">
        <v>46316</v>
      </c>
      <c r="F102" t="inlineStr">
        <is>
          <t>VÄSTRA GÖTALANDS LÄN</t>
        </is>
      </c>
      <c r="G102" t="inlineStr">
        <is>
          <t>VARA</t>
        </is>
      </c>
      <c r="I102" t="n">
        <v>2.4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s="2" t="inlineStr"/>
    </row>
    <row r="103" ht="15" customHeight="1">
      <c r="A103" t="inlineStr">
        <is>
          <t>A 50702-2022</t>
        </is>
      </c>
      <c r="B103" t="inlineStr">
        <is>
          <t>avverkningsanmälan</t>
        </is>
      </c>
      <c r="C103" t="inlineStr">
        <is>
          <t>Föryngringsavverkning</t>
        </is>
      </c>
      <c r="D103" s="1" t="n">
        <v>44867</v>
      </c>
      <c r="E103" s="1" t="n">
        <v>46316</v>
      </c>
      <c r="F103" t="inlineStr">
        <is>
          <t>VÄSTRA GÖTALANDS LÄN</t>
        </is>
      </c>
      <c r="G103" t="inlineStr">
        <is>
          <t>VARA</t>
        </is>
      </c>
      <c r="I103" t="n">
        <v>4.4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s="2" t="inlineStr"/>
    </row>
    <row r="104" ht="15" customHeight="1">
      <c r="A104" t="inlineStr">
        <is>
          <t>A 17543-2025</t>
        </is>
      </c>
      <c r="B104" t="inlineStr">
        <is>
          <t>avverkningsanmälan</t>
        </is>
      </c>
      <c r="C104" t="inlineStr">
        <is>
          <t>Föryngringsavverkning</t>
        </is>
      </c>
      <c r="D104" s="1" t="n">
        <v>45757</v>
      </c>
      <c r="E104" s="1" t="n">
        <v>46316</v>
      </c>
      <c r="F104" t="inlineStr">
        <is>
          <t>VÄSTRA GÖTALANDS LÄN</t>
        </is>
      </c>
      <c r="G104" t="inlineStr">
        <is>
          <t>VARA</t>
        </is>
      </c>
      <c r="I104" t="n">
        <v>1.4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s="2" t="inlineStr"/>
    </row>
    <row r="105" ht="15" customHeight="1">
      <c r="A105" t="inlineStr">
        <is>
          <t>A 13710-2026</t>
        </is>
      </c>
      <c r="B105" t="inlineStr">
        <is>
          <t>avverkningsanmälan</t>
        </is>
      </c>
      <c r="C105" t="inlineStr">
        <is>
          <t>Föryngringsavverkning</t>
        </is>
      </c>
      <c r="D105" s="1" t="n">
        <v>46097</v>
      </c>
      <c r="E105" s="1" t="n">
        <v>46316</v>
      </c>
      <c r="F105" t="inlineStr">
        <is>
          <t>VÄSTRA GÖTALANDS LÄN</t>
        </is>
      </c>
      <c r="G105" t="inlineStr">
        <is>
          <t>VARA</t>
        </is>
      </c>
      <c r="I105" t="n">
        <v>1.2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s="2" t="inlineStr"/>
    </row>
    <row r="106" ht="15" customHeight="1">
      <c r="A106" t="inlineStr">
        <is>
          <t>A 45303-2024</t>
        </is>
      </c>
      <c r="B106" t="inlineStr">
        <is>
          <t>avverkningsanmälan</t>
        </is>
      </c>
      <c r="C106" t="inlineStr">
        <is>
          <t>Föryngringsavverkning</t>
        </is>
      </c>
      <c r="D106" s="1" t="n">
        <v>45576</v>
      </c>
      <c r="E106" s="1" t="n">
        <v>46316</v>
      </c>
      <c r="F106" t="inlineStr">
        <is>
          <t>VÄSTRA GÖTALANDS LÄN</t>
        </is>
      </c>
      <c r="G106" t="inlineStr">
        <is>
          <t>VARA</t>
        </is>
      </c>
      <c r="I106" t="n">
        <v>8.300000000000001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s="2" t="inlineStr"/>
    </row>
    <row r="107" ht="15" customHeight="1">
      <c r="A107" t="inlineStr">
        <is>
          <t>A 25764-2023</t>
        </is>
      </c>
      <c r="B107" t="inlineStr">
        <is>
          <t>avverkningsanmälan</t>
        </is>
      </c>
      <c r="C107" t="inlineStr">
        <is>
          <t>Föryngringsavverkning</t>
        </is>
      </c>
      <c r="D107" s="1" t="n">
        <v>45090</v>
      </c>
      <c r="E107" s="1" t="n">
        <v>46316</v>
      </c>
      <c r="F107" t="inlineStr">
        <is>
          <t>VÄSTRA GÖTALANDS LÄN</t>
        </is>
      </c>
      <c r="G107" t="inlineStr">
        <is>
          <t>VARA</t>
        </is>
      </c>
      <c r="I107" t="n">
        <v>0.7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s="2" t="inlineStr"/>
    </row>
    <row r="108" ht="15" customHeight="1">
      <c r="A108" t="inlineStr">
        <is>
          <t>A 61738-2023</t>
        </is>
      </c>
      <c r="B108" t="inlineStr">
        <is>
          <t>avverkningsanmälan</t>
        </is>
      </c>
      <c r="C108" t="inlineStr">
        <is>
          <t>Föryngringsavverkning</t>
        </is>
      </c>
      <c r="D108" s="1" t="n">
        <v>45265</v>
      </c>
      <c r="E108" s="1" t="n">
        <v>46316</v>
      </c>
      <c r="F108" t="inlineStr">
        <is>
          <t>VÄSTRA GÖTALANDS LÄN</t>
        </is>
      </c>
      <c r="G108" t="inlineStr">
        <is>
          <t>VARA</t>
        </is>
      </c>
      <c r="I108" t="n">
        <v>1.3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s="2" t="inlineStr"/>
    </row>
    <row r="109" ht="15" customHeight="1">
      <c r="A109" t="inlineStr">
        <is>
          <t>A 53606-2025</t>
        </is>
      </c>
      <c r="B109" t="inlineStr">
        <is>
          <t>avverkningsanmälan</t>
        </is>
      </c>
      <c r="C109" t="inlineStr">
        <is>
          <t>Föryngringsavverkning</t>
        </is>
      </c>
      <c r="D109" s="1" t="n">
        <v>45960</v>
      </c>
      <c r="E109" s="1" t="n">
        <v>46316</v>
      </c>
      <c r="F109" t="inlineStr">
        <is>
          <t>VÄSTRA GÖTALANDS LÄN</t>
        </is>
      </c>
      <c r="G109" t="inlineStr">
        <is>
          <t>VARA</t>
        </is>
      </c>
      <c r="I109" t="n">
        <v>3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s="2" t="inlineStr"/>
    </row>
    <row r="110" ht="15" customHeight="1">
      <c r="A110" t="inlineStr">
        <is>
          <t>A 53604-2025</t>
        </is>
      </c>
      <c r="B110" t="inlineStr">
        <is>
          <t>avverkningsanmälan</t>
        </is>
      </c>
      <c r="C110" t="inlineStr">
        <is>
          <t>Föryngringsavverkning</t>
        </is>
      </c>
      <c r="D110" s="1" t="n">
        <v>45960</v>
      </c>
      <c r="E110" s="1" t="n">
        <v>46316</v>
      </c>
      <c r="F110" t="inlineStr">
        <is>
          <t>VÄSTRA GÖTALANDS LÄN</t>
        </is>
      </c>
      <c r="G110" t="inlineStr">
        <is>
          <t>VARA</t>
        </is>
      </c>
      <c r="I110" t="n">
        <v>19.8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s="2" t="inlineStr"/>
    </row>
    <row r="111" ht="15" customHeight="1">
      <c r="A111" t="inlineStr">
        <is>
          <t>A 31163-2025</t>
        </is>
      </c>
      <c r="B111" t="inlineStr">
        <is>
          <t>avverkningsanmälan</t>
        </is>
      </c>
      <c r="C111" t="inlineStr">
        <is>
          <t>Föryngringsavverkning</t>
        </is>
      </c>
      <c r="D111" s="1" t="n">
        <v>45832</v>
      </c>
      <c r="E111" s="1" t="n">
        <v>46316</v>
      </c>
      <c r="F111" t="inlineStr">
        <is>
          <t>VÄSTRA GÖTALANDS LÄN</t>
        </is>
      </c>
      <c r="G111" t="inlineStr">
        <is>
          <t>VARA</t>
        </is>
      </c>
      <c r="I111" t="n">
        <v>1.2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s="2" t="inlineStr"/>
    </row>
    <row r="112" ht="15" customHeight="1">
      <c r="A112" t="inlineStr">
        <is>
          <t>A 53802-2025</t>
        </is>
      </c>
      <c r="B112" t="inlineStr">
        <is>
          <t>avverkningsanmälan</t>
        </is>
      </c>
      <c r="C112" t="inlineStr">
        <is>
          <t>Föryngringsavverkning</t>
        </is>
      </c>
      <c r="D112" s="1" t="n">
        <v>45960</v>
      </c>
      <c r="E112" s="1" t="n">
        <v>46316</v>
      </c>
      <c r="F112" t="inlineStr">
        <is>
          <t>VÄSTRA GÖTALANDS LÄN</t>
        </is>
      </c>
      <c r="G112" t="inlineStr">
        <is>
          <t>VARA</t>
        </is>
      </c>
      <c r="I112" t="n">
        <v>1.1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s="2" t="inlineStr"/>
    </row>
    <row r="113" ht="15" customHeight="1">
      <c r="A113" t="inlineStr">
        <is>
          <t>A 16754-2026</t>
        </is>
      </c>
      <c r="B113" t="inlineStr">
        <is>
          <t>avverkningsanmälan</t>
        </is>
      </c>
      <c r="C113" t="inlineStr">
        <is>
          <t>Föryngringsavverkning</t>
        </is>
      </c>
      <c r="D113" s="1" t="n">
        <v>46113</v>
      </c>
      <c r="E113" s="1" t="n">
        <v>46316</v>
      </c>
      <c r="F113" t="inlineStr">
        <is>
          <t>VÄSTRA GÖTALANDS LÄN</t>
        </is>
      </c>
      <c r="G113" t="inlineStr">
        <is>
          <t>VARA</t>
        </is>
      </c>
      <c r="H113" t="inlineStr">
        <is>
          <t>Sveaskog</t>
        </is>
      </c>
      <c r="I113" t="n">
        <v>0.6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s="2" t="inlineStr"/>
    </row>
    <row r="114" ht="15" customHeight="1">
      <c r="A114" t="inlineStr">
        <is>
          <t>A 9411-2024</t>
        </is>
      </c>
      <c r="B114" t="inlineStr">
        <is>
          <t>avverkningsanmälan</t>
        </is>
      </c>
      <c r="C114" t="inlineStr">
        <is>
          <t>Föryngringsavverkning</t>
        </is>
      </c>
      <c r="D114" s="1" t="n">
        <v>45359</v>
      </c>
      <c r="E114" s="1" t="n">
        <v>46316</v>
      </c>
      <c r="F114" t="inlineStr">
        <is>
          <t>VÄSTRA GÖTALANDS LÄN</t>
        </is>
      </c>
      <c r="G114" t="inlineStr">
        <is>
          <t>VARA</t>
        </is>
      </c>
      <c r="I114" t="n">
        <v>0.9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s="2" t="inlineStr"/>
    </row>
    <row r="115" ht="15" customHeight="1">
      <c r="A115" t="inlineStr">
        <is>
          <t>A 31629-2025</t>
        </is>
      </c>
      <c r="B115" t="inlineStr">
        <is>
          <t>avverkningsanmälan</t>
        </is>
      </c>
      <c r="C115" t="inlineStr">
        <is>
          <t>Föryngringsavverkning</t>
        </is>
      </c>
      <c r="D115" s="1" t="n">
        <v>45834</v>
      </c>
      <c r="E115" s="1" t="n">
        <v>46316</v>
      </c>
      <c r="F115" t="inlineStr">
        <is>
          <t>VÄSTRA GÖTALANDS LÄN</t>
        </is>
      </c>
      <c r="G115" t="inlineStr">
        <is>
          <t>VARA</t>
        </is>
      </c>
      <c r="I115" t="n">
        <v>0.9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s="2" t="inlineStr"/>
    </row>
    <row r="116" ht="15" customHeight="1">
      <c r="A116" t="inlineStr">
        <is>
          <t>A 55561-2025</t>
        </is>
      </c>
      <c r="B116" t="inlineStr">
        <is>
          <t>avverkningsanmälan</t>
        </is>
      </c>
      <c r="C116" t="inlineStr">
        <is>
          <t>Föryngringsavverkning</t>
        </is>
      </c>
      <c r="D116" s="1" t="n">
        <v>45971</v>
      </c>
      <c r="E116" s="1" t="n">
        <v>46316</v>
      </c>
      <c r="F116" t="inlineStr">
        <is>
          <t>VÄSTRA GÖTALANDS LÄN</t>
        </is>
      </c>
      <c r="G116" t="inlineStr">
        <is>
          <t>VARA</t>
        </is>
      </c>
      <c r="I116" t="n">
        <v>1.4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s="2" t="inlineStr"/>
    </row>
    <row r="117" ht="15" customHeight="1">
      <c r="A117" t="inlineStr">
        <is>
          <t>A 57260-2025</t>
        </is>
      </c>
      <c r="B117" t="inlineStr">
        <is>
          <t>avverkningsanmälan</t>
        </is>
      </c>
      <c r="C117" t="inlineStr">
        <is>
          <t>Föryngringsavverkning</t>
        </is>
      </c>
      <c r="D117" s="1" t="n">
        <v>45979</v>
      </c>
      <c r="E117" s="1" t="n">
        <v>46316</v>
      </c>
      <c r="F117" t="inlineStr">
        <is>
          <t>VÄSTRA GÖTALANDS LÄN</t>
        </is>
      </c>
      <c r="G117" t="inlineStr">
        <is>
          <t>VARA</t>
        </is>
      </c>
      <c r="I117" t="n">
        <v>7.2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s="2" t="inlineStr"/>
    </row>
    <row r="118" ht="15" customHeight="1">
      <c r="A118" t="inlineStr">
        <is>
          <t>A 64317-2023</t>
        </is>
      </c>
      <c r="B118" t="inlineStr">
        <is>
          <t>avverkningsanmälan</t>
        </is>
      </c>
      <c r="C118" t="inlineStr">
        <is>
          <t>Avverkning för annat ändamål</t>
        </is>
      </c>
      <c r="D118" s="1" t="n">
        <v>45279</v>
      </c>
      <c r="E118" s="1" t="n">
        <v>46316</v>
      </c>
      <c r="F118" t="inlineStr">
        <is>
          <t>VÄSTRA GÖTALANDS LÄN</t>
        </is>
      </c>
      <c r="G118" t="inlineStr">
        <is>
          <t>VARA</t>
        </is>
      </c>
      <c r="I118" t="n">
        <v>0.7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s="2" t="inlineStr"/>
    </row>
    <row r="119" ht="15" customHeight="1">
      <c r="A119" t="inlineStr">
        <is>
          <t>A 64330-2023</t>
        </is>
      </c>
      <c r="B119" t="inlineStr">
        <is>
          <t>avverkningsanmälan</t>
        </is>
      </c>
      <c r="C119" t="inlineStr">
        <is>
          <t>Föryngringsavverkning</t>
        </is>
      </c>
      <c r="D119" s="1" t="n">
        <v>45279</v>
      </c>
      <c r="E119" s="1" t="n">
        <v>46316</v>
      </c>
      <c r="F119" t="inlineStr">
        <is>
          <t>VÄSTRA GÖTALANDS LÄN</t>
        </is>
      </c>
      <c r="G119" t="inlineStr">
        <is>
          <t>VARA</t>
        </is>
      </c>
      <c r="I119" t="n">
        <v>6.6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s="2" t="inlineStr"/>
    </row>
    <row r="120" ht="15" customHeight="1">
      <c r="A120" t="inlineStr">
        <is>
          <t>A 22532-2025</t>
        </is>
      </c>
      <c r="B120" t="inlineStr">
        <is>
          <t>avverkningsanmälan</t>
        </is>
      </c>
      <c r="C120" t="inlineStr">
        <is>
          <t>Avverkning för att bevara och utveckla /försöksver</t>
        </is>
      </c>
      <c r="D120" s="1" t="n">
        <v>45786</v>
      </c>
      <c r="E120" s="1" t="n">
        <v>46316</v>
      </c>
      <c r="F120" t="inlineStr">
        <is>
          <t>VÄSTRA GÖTALANDS LÄN</t>
        </is>
      </c>
      <c r="G120" t="inlineStr">
        <is>
          <t>VARA</t>
        </is>
      </c>
      <c r="I120" t="n">
        <v>0.4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s="2" t="inlineStr"/>
    </row>
    <row r="121" ht="15" customHeight="1">
      <c r="A121" t="inlineStr">
        <is>
          <t>A 7655-2024</t>
        </is>
      </c>
      <c r="B121" t="inlineStr">
        <is>
          <t>avverkningsanmälan</t>
        </is>
      </c>
      <c r="C121" t="inlineStr">
        <is>
          <t>Föryngringsavverkning</t>
        </is>
      </c>
      <c r="D121" s="1" t="n">
        <v>45348</v>
      </c>
      <c r="E121" s="1" t="n">
        <v>46316</v>
      </c>
      <c r="F121" t="inlineStr">
        <is>
          <t>VÄSTRA GÖTALANDS LÄN</t>
        </is>
      </c>
      <c r="G121" t="inlineStr">
        <is>
          <t>VARA</t>
        </is>
      </c>
      <c r="I121" t="n">
        <v>8.5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s="2" t="inlineStr"/>
    </row>
    <row r="122" ht="15" customHeight="1">
      <c r="A122" t="inlineStr">
        <is>
          <t>A 33672-2025</t>
        </is>
      </c>
      <c r="B122" t="inlineStr">
        <is>
          <t>avverkningsanmälan</t>
        </is>
      </c>
      <c r="C122" t="inlineStr">
        <is>
          <t>Föryngringsavverkning</t>
        </is>
      </c>
      <c r="D122" s="1" t="n">
        <v>45841</v>
      </c>
      <c r="E122" s="1" t="n">
        <v>46316</v>
      </c>
      <c r="F122" t="inlineStr">
        <is>
          <t>VÄSTRA GÖTALANDS LÄN</t>
        </is>
      </c>
      <c r="G122" t="inlineStr">
        <is>
          <t>VARA</t>
        </is>
      </c>
      <c r="I122" t="n">
        <v>2.3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s="2" t="inlineStr"/>
    </row>
    <row r="123" ht="15" customHeight="1">
      <c r="A123" t="inlineStr">
        <is>
          <t>A 1141-2023</t>
        </is>
      </c>
      <c r="B123" t="inlineStr">
        <is>
          <t>avverkningsanmälan</t>
        </is>
      </c>
      <c r="C123" t="inlineStr">
        <is>
          <t>Föryngringsavverkning</t>
        </is>
      </c>
      <c r="D123" s="1" t="n">
        <v>44935</v>
      </c>
      <c r="E123" s="1" t="n">
        <v>46316</v>
      </c>
      <c r="F123" t="inlineStr">
        <is>
          <t>VÄSTRA GÖTALANDS LÄN</t>
        </is>
      </c>
      <c r="G123" t="inlineStr">
        <is>
          <t>VARA</t>
        </is>
      </c>
      <c r="I123" t="n">
        <v>2.2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s="2" t="inlineStr"/>
    </row>
    <row r="124" ht="15" customHeight="1">
      <c r="A124" t="inlineStr">
        <is>
          <t>A 961-2023</t>
        </is>
      </c>
      <c r="B124" t="inlineStr">
        <is>
          <t>avverkningsanmälan</t>
        </is>
      </c>
      <c r="C124" t="inlineStr">
        <is>
          <t>Föryngringsavverkning</t>
        </is>
      </c>
      <c r="D124" s="1" t="n">
        <v>44934</v>
      </c>
      <c r="E124" s="1" t="n">
        <v>46316</v>
      </c>
      <c r="F124" t="inlineStr">
        <is>
          <t>VÄSTRA GÖTALANDS LÄN</t>
        </is>
      </c>
      <c r="G124" t="inlineStr">
        <is>
          <t>VARA</t>
        </is>
      </c>
      <c r="I124" t="n">
        <v>1.4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s="2" t="inlineStr"/>
    </row>
    <row r="125" ht="15" customHeight="1">
      <c r="A125" t="inlineStr">
        <is>
          <t>A 49863-2025</t>
        </is>
      </c>
      <c r="B125" t="inlineStr">
        <is>
          <t>avverkningsanmälan</t>
        </is>
      </c>
      <c r="C125" t="inlineStr">
        <is>
          <t>Föryngringsavverkning</t>
        </is>
      </c>
      <c r="D125" s="1" t="n">
        <v>45940</v>
      </c>
      <c r="E125" s="1" t="n">
        <v>46316</v>
      </c>
      <c r="F125" t="inlineStr">
        <is>
          <t>VÄSTRA GÖTALANDS LÄN</t>
        </is>
      </c>
      <c r="G125" t="inlineStr">
        <is>
          <t>VARA</t>
        </is>
      </c>
      <c r="I125" t="n">
        <v>1.3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s="2" t="inlineStr"/>
    </row>
    <row r="126" ht="15" customHeight="1">
      <c r="A126" t="inlineStr">
        <is>
          <t>A 60029-2025</t>
        </is>
      </c>
      <c r="B126" t="inlineStr">
        <is>
          <t>avverkningsanmälan</t>
        </is>
      </c>
      <c r="C126" t="inlineStr">
        <is>
          <t>Föryngringsavverkning</t>
        </is>
      </c>
      <c r="D126" s="1" t="n">
        <v>45993</v>
      </c>
      <c r="E126" s="1" t="n">
        <v>46316</v>
      </c>
      <c r="F126" t="inlineStr">
        <is>
          <t>VÄSTRA GÖTALANDS LÄN</t>
        </is>
      </c>
      <c r="G126" t="inlineStr">
        <is>
          <t>VARA</t>
        </is>
      </c>
      <c r="I126" t="n">
        <v>19.6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s="2" t="inlineStr"/>
    </row>
    <row r="127" ht="15" customHeight="1">
      <c r="A127" t="inlineStr">
        <is>
          <t>A 20022-2026</t>
        </is>
      </c>
      <c r="B127" t="inlineStr">
        <is>
          <t>avverkningsanmälan</t>
        </is>
      </c>
      <c r="C127" t="inlineStr">
        <is>
          <t>Föryngringsavverkning</t>
        </is>
      </c>
      <c r="D127" s="1" t="n">
        <v>46136</v>
      </c>
      <c r="E127" s="1" t="n">
        <v>46316</v>
      </c>
      <c r="F127" t="inlineStr">
        <is>
          <t>VÄSTRA GÖTALANDS LÄN</t>
        </is>
      </c>
      <c r="G127" t="inlineStr">
        <is>
          <t>VARA</t>
        </is>
      </c>
      <c r="I127" t="n">
        <v>2.3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s="2" t="inlineStr"/>
    </row>
    <row r="128" ht="15" customHeight="1">
      <c r="A128" t="inlineStr">
        <is>
          <t>A 60216-2025</t>
        </is>
      </c>
      <c r="B128" t="inlineStr">
        <is>
          <t>avverkningsanmälan</t>
        </is>
      </c>
      <c r="C128" t="inlineStr">
        <is>
          <t>Föryngringsavverkning</t>
        </is>
      </c>
      <c r="D128" s="1" t="n">
        <v>45994</v>
      </c>
      <c r="E128" s="1" t="n">
        <v>46316</v>
      </c>
      <c r="F128" t="inlineStr">
        <is>
          <t>VÄSTRA GÖTALANDS LÄN</t>
        </is>
      </c>
      <c r="G128" t="inlineStr">
        <is>
          <t>VARA</t>
        </is>
      </c>
      <c r="I128" t="n">
        <v>8.199999999999999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s="2" t="inlineStr"/>
    </row>
    <row r="129" ht="15" customHeight="1">
      <c r="A129" t="inlineStr">
        <is>
          <t>A 2680-2025</t>
        </is>
      </c>
      <c r="B129" t="inlineStr">
        <is>
          <t>avverkningsanmälan</t>
        </is>
      </c>
      <c r="C129" t="inlineStr">
        <is>
          <t>Föryngringsavverkning</t>
        </is>
      </c>
      <c r="D129" s="1" t="n">
        <v>45677</v>
      </c>
      <c r="E129" s="1" t="n">
        <v>46316</v>
      </c>
      <c r="F129" t="inlineStr">
        <is>
          <t>VÄSTRA GÖTALANDS LÄN</t>
        </is>
      </c>
      <c r="G129" t="inlineStr">
        <is>
          <t>VARA</t>
        </is>
      </c>
      <c r="I129" t="n">
        <v>2.2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s="2" t="inlineStr"/>
    </row>
    <row r="130" ht="15" customHeight="1">
      <c r="A130" t="inlineStr">
        <is>
          <t>A 9404-2022</t>
        </is>
      </c>
      <c r="B130" t="inlineStr">
        <is>
          <t>avverkningsanmälan</t>
        </is>
      </c>
      <c r="C130" t="inlineStr">
        <is>
          <t>Föryngringsavverkning</t>
        </is>
      </c>
      <c r="D130" s="1" t="n">
        <v>44616</v>
      </c>
      <c r="E130" s="1" t="n">
        <v>46316</v>
      </c>
      <c r="F130" t="inlineStr">
        <is>
          <t>VÄSTRA GÖTALANDS LÄN</t>
        </is>
      </c>
      <c r="G130" t="inlineStr">
        <is>
          <t>VARA</t>
        </is>
      </c>
      <c r="I130" t="n">
        <v>1.9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s="2" t="inlineStr"/>
    </row>
    <row r="131" ht="15" customHeight="1">
      <c r="A131" t="inlineStr">
        <is>
          <t>A 579-2024</t>
        </is>
      </c>
      <c r="B131" t="inlineStr">
        <is>
          <t>avverkningsanmälan</t>
        </is>
      </c>
      <c r="C131" t="inlineStr">
        <is>
          <t>Avverkning för annat ändamål</t>
        </is>
      </c>
      <c r="D131" s="1" t="n">
        <v>45299</v>
      </c>
      <c r="E131" s="1" t="n">
        <v>46316</v>
      </c>
      <c r="F131" t="inlineStr">
        <is>
          <t>VÄSTRA GÖTALANDS LÄN</t>
        </is>
      </c>
      <c r="G131" t="inlineStr">
        <is>
          <t>VARA</t>
        </is>
      </c>
      <c r="I131" t="n">
        <v>1.2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s="2" t="inlineStr"/>
    </row>
    <row r="132" ht="15" customHeight="1">
      <c r="A132" t="inlineStr">
        <is>
          <t>A 59314-2024</t>
        </is>
      </c>
      <c r="B132" t="inlineStr">
        <is>
          <t>avverkningsanmälan</t>
        </is>
      </c>
      <c r="C132" t="inlineStr">
        <is>
          <t>Föryngringsavverkning</t>
        </is>
      </c>
      <c r="D132" s="1" t="n">
        <v>45637</v>
      </c>
      <c r="E132" s="1" t="n">
        <v>46316</v>
      </c>
      <c r="F132" t="inlineStr">
        <is>
          <t>VÄSTRA GÖTALANDS LÄN</t>
        </is>
      </c>
      <c r="G132" t="inlineStr">
        <is>
          <t>VARA</t>
        </is>
      </c>
      <c r="I132" t="n">
        <v>0.5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s="2" t="inlineStr"/>
    </row>
    <row r="133" ht="15" customHeight="1">
      <c r="A133" t="inlineStr">
        <is>
          <t>A 1197-2025</t>
        </is>
      </c>
      <c r="B133" t="inlineStr">
        <is>
          <t>avverkningsanmälan</t>
        </is>
      </c>
      <c r="C133" t="inlineStr">
        <is>
          <t>Föryngringsavverkning</t>
        </is>
      </c>
      <c r="D133" s="1" t="n">
        <v>45667</v>
      </c>
      <c r="E133" s="1" t="n">
        <v>46316</v>
      </c>
      <c r="F133" t="inlineStr">
        <is>
          <t>VÄSTRA GÖTALANDS LÄN</t>
        </is>
      </c>
      <c r="G133" t="inlineStr">
        <is>
          <t>VARA</t>
        </is>
      </c>
      <c r="I133" t="n">
        <v>1.8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s="2" t="inlineStr"/>
    </row>
    <row r="134" ht="15" customHeight="1">
      <c r="A134" t="inlineStr">
        <is>
          <t>A 27845-2023</t>
        </is>
      </c>
      <c r="B134" t="inlineStr">
        <is>
          <t>avverkningsanmälan</t>
        </is>
      </c>
      <c r="C134" t="inlineStr">
        <is>
          <t>Föryngringsavverkning</t>
        </is>
      </c>
      <c r="D134" s="1" t="n">
        <v>45098</v>
      </c>
      <c r="E134" s="1" t="n">
        <v>46316</v>
      </c>
      <c r="F134" t="inlineStr">
        <is>
          <t>VÄSTRA GÖTALANDS LÄN</t>
        </is>
      </c>
      <c r="G134" t="inlineStr">
        <is>
          <t>VARA</t>
        </is>
      </c>
      <c r="I134" t="n">
        <v>3.4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s="2" t="inlineStr"/>
    </row>
    <row r="135" ht="15" customHeight="1">
      <c r="A135" t="inlineStr">
        <is>
          <t>A 20911-2025</t>
        </is>
      </c>
      <c r="B135" t="inlineStr">
        <is>
          <t>avverkningsanmälan</t>
        </is>
      </c>
      <c r="C135" t="inlineStr">
        <is>
          <t>Föryngringsavverkning</t>
        </is>
      </c>
      <c r="D135" s="1" t="n">
        <v>45777</v>
      </c>
      <c r="E135" s="1" t="n">
        <v>46316</v>
      </c>
      <c r="F135" t="inlineStr">
        <is>
          <t>VÄSTRA GÖTALANDS LÄN</t>
        </is>
      </c>
      <c r="G135" t="inlineStr">
        <is>
          <t>VARA</t>
        </is>
      </c>
      <c r="I135" t="n">
        <v>0.9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s="2" t="inlineStr"/>
    </row>
    <row r="136" ht="15" customHeight="1">
      <c r="A136" t="inlineStr">
        <is>
          <t>A 962-2023</t>
        </is>
      </c>
      <c r="B136" t="inlineStr">
        <is>
          <t>avverkningsanmälan</t>
        </is>
      </c>
      <c r="C136" t="inlineStr">
        <is>
          <t>Föryngringsavverkning</t>
        </is>
      </c>
      <c r="D136" s="1" t="n">
        <v>44934</v>
      </c>
      <c r="E136" s="1" t="n">
        <v>46316</v>
      </c>
      <c r="F136" t="inlineStr">
        <is>
          <t>VÄSTRA GÖTALANDS LÄN</t>
        </is>
      </c>
      <c r="G136" t="inlineStr">
        <is>
          <t>VARA</t>
        </is>
      </c>
      <c r="I136" t="n">
        <v>1.6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s="2" t="inlineStr"/>
    </row>
    <row r="137" ht="15" customHeight="1">
      <c r="A137" t="inlineStr">
        <is>
          <t>A 46137-2023</t>
        </is>
      </c>
      <c r="B137" t="inlineStr">
        <is>
          <t>avverkningsanmälan</t>
        </is>
      </c>
      <c r="C137" t="inlineStr">
        <is>
          <t>Föryngringsavverkning</t>
        </is>
      </c>
      <c r="D137" s="1" t="n">
        <v>45196</v>
      </c>
      <c r="E137" s="1" t="n">
        <v>46316</v>
      </c>
      <c r="F137" t="inlineStr">
        <is>
          <t>VÄSTRA GÖTALANDS LÄN</t>
        </is>
      </c>
      <c r="G137" t="inlineStr">
        <is>
          <t>VARA</t>
        </is>
      </c>
      <c r="I137" t="n">
        <v>0.6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s="2" t="inlineStr"/>
    </row>
    <row r="138" ht="15" customHeight="1">
      <c r="A138" t="inlineStr">
        <is>
          <t>A 6974-2025</t>
        </is>
      </c>
      <c r="B138" t="inlineStr">
        <is>
          <t>avverkningsanmälan</t>
        </is>
      </c>
      <c r="C138" t="inlineStr">
        <is>
          <t>Föryngringsavverkning</t>
        </is>
      </c>
      <c r="D138" s="1" t="n">
        <v>45701</v>
      </c>
      <c r="E138" s="1" t="n">
        <v>46316</v>
      </c>
      <c r="F138" t="inlineStr">
        <is>
          <t>VÄSTRA GÖTALANDS LÄN</t>
        </is>
      </c>
      <c r="G138" t="inlineStr">
        <is>
          <t>VARA</t>
        </is>
      </c>
      <c r="I138" t="n">
        <v>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s="2" t="inlineStr"/>
    </row>
    <row r="139" ht="15" customHeight="1">
      <c r="A139" t="inlineStr">
        <is>
          <t>A 49391-2024</t>
        </is>
      </c>
      <c r="B139" t="inlineStr">
        <is>
          <t>avverkningsanmälan</t>
        </is>
      </c>
      <c r="C139" t="inlineStr">
        <is>
          <t>Föryngringsavverkning</t>
        </is>
      </c>
      <c r="D139" s="1" t="n">
        <v>45595</v>
      </c>
      <c r="E139" s="1" t="n">
        <v>46316</v>
      </c>
      <c r="F139" t="inlineStr">
        <is>
          <t>VÄSTRA GÖTALANDS LÄN</t>
        </is>
      </c>
      <c r="G139" t="inlineStr">
        <is>
          <t>VARA</t>
        </is>
      </c>
      <c r="I139" t="n">
        <v>2.2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s="2" t="inlineStr"/>
    </row>
    <row r="140" ht="15" customHeight="1">
      <c r="A140" t="inlineStr">
        <is>
          <t>A 11589-2022</t>
        </is>
      </c>
      <c r="B140" t="inlineStr">
        <is>
          <t>avverkningsanmälan</t>
        </is>
      </c>
      <c r="C140" t="inlineStr">
        <is>
          <t>Avverkning för annat ändamål</t>
        </is>
      </c>
      <c r="D140" s="1" t="n">
        <v>44631</v>
      </c>
      <c r="E140" s="1" t="n">
        <v>46316</v>
      </c>
      <c r="F140" t="inlineStr">
        <is>
          <t>VÄSTRA GÖTALANDS LÄN</t>
        </is>
      </c>
      <c r="G140" t="inlineStr">
        <is>
          <t>VARA</t>
        </is>
      </c>
      <c r="I140" t="n">
        <v>1.9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s="2" t="inlineStr"/>
    </row>
    <row r="141" ht="15" customHeight="1">
      <c r="A141" t="inlineStr">
        <is>
          <t>A 35059-2023</t>
        </is>
      </c>
      <c r="B141" t="inlineStr">
        <is>
          <t>avverkningsanmälan</t>
        </is>
      </c>
      <c r="C141" t="inlineStr">
        <is>
          <t>Föryngringsavverkning</t>
        </is>
      </c>
      <c r="D141" s="1" t="n">
        <v>45142</v>
      </c>
      <c r="E141" s="1" t="n">
        <v>46316</v>
      </c>
      <c r="F141" t="inlineStr">
        <is>
          <t>VÄSTRA GÖTALANDS LÄN</t>
        </is>
      </c>
      <c r="G141" t="inlineStr">
        <is>
          <t>VARA</t>
        </is>
      </c>
      <c r="I141" t="n">
        <v>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s="2" t="inlineStr"/>
    </row>
    <row r="142" ht="15" customHeight="1">
      <c r="A142" t="inlineStr">
        <is>
          <t>A 56654-2023</t>
        </is>
      </c>
      <c r="B142" t="inlineStr">
        <is>
          <t>avverkningsanmälan</t>
        </is>
      </c>
      <c r="C142" t="inlineStr">
        <is>
          <t>Föryngringsavverkning</t>
        </is>
      </c>
      <c r="D142" s="1" t="n">
        <v>45243</v>
      </c>
      <c r="E142" s="1" t="n">
        <v>46316</v>
      </c>
      <c r="F142" t="inlineStr">
        <is>
          <t>VÄSTRA GÖTALANDS LÄN</t>
        </is>
      </c>
      <c r="G142" t="inlineStr">
        <is>
          <t>VARA</t>
        </is>
      </c>
      <c r="I142" t="n">
        <v>2.8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s="2" t="inlineStr"/>
    </row>
    <row r="143" ht="15" customHeight="1">
      <c r="A143" t="inlineStr">
        <is>
          <t>A 36632-2025</t>
        </is>
      </c>
      <c r="B143" t="inlineStr">
        <is>
          <t>avverkningsanmälan</t>
        </is>
      </c>
      <c r="C143" t="inlineStr">
        <is>
          <t>Avverkning för att bevara och utveckla /försöksver</t>
        </is>
      </c>
      <c r="D143" s="1" t="n">
        <v>45870</v>
      </c>
      <c r="E143" s="1" t="n">
        <v>46316</v>
      </c>
      <c r="F143" t="inlineStr">
        <is>
          <t>VÄSTRA GÖTALANDS LÄN</t>
        </is>
      </c>
      <c r="G143" t="inlineStr">
        <is>
          <t>VARA</t>
        </is>
      </c>
      <c r="I143" t="n">
        <v>1.1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s="2" t="inlineStr"/>
    </row>
    <row r="144" ht="15" customHeight="1">
      <c r="A144" t="inlineStr">
        <is>
          <t>A 28851-2024</t>
        </is>
      </c>
      <c r="B144" t="inlineStr">
        <is>
          <t>avverkningsanmälan</t>
        </is>
      </c>
      <c r="C144" t="inlineStr">
        <is>
          <t>Föryngringsavverkning</t>
        </is>
      </c>
      <c r="D144" s="1" t="n">
        <v>45478</v>
      </c>
      <c r="E144" s="1" t="n">
        <v>46316</v>
      </c>
      <c r="F144" t="inlineStr">
        <is>
          <t>VÄSTRA GÖTALANDS LÄN</t>
        </is>
      </c>
      <c r="G144" t="inlineStr">
        <is>
          <t>VARA</t>
        </is>
      </c>
      <c r="I144" t="n">
        <v>1.7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s="2" t="inlineStr"/>
    </row>
    <row r="145" ht="15" customHeight="1">
      <c r="A145" t="inlineStr">
        <is>
          <t>A 18836-2026</t>
        </is>
      </c>
      <c r="B145" t="inlineStr">
        <is>
          <t>avverkningsanmälan</t>
        </is>
      </c>
      <c r="C145" t="inlineStr">
        <is>
          <t>Föryngringsavverkning</t>
        </is>
      </c>
      <c r="D145" s="1" t="n">
        <v>46129</v>
      </c>
      <c r="E145" s="1" t="n">
        <v>46316</v>
      </c>
      <c r="F145" t="inlineStr">
        <is>
          <t>VÄSTRA GÖTALANDS LÄN</t>
        </is>
      </c>
      <c r="G145" t="inlineStr">
        <is>
          <t>VARA</t>
        </is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s="2" t="inlineStr"/>
    </row>
    <row r="146" ht="15" customHeight="1">
      <c r="A146" t="inlineStr">
        <is>
          <t>A 61740-2023</t>
        </is>
      </c>
      <c r="B146" t="inlineStr">
        <is>
          <t>avverkningsanmälan</t>
        </is>
      </c>
      <c r="C146" t="inlineStr">
        <is>
          <t>Föryngringsavverkning</t>
        </is>
      </c>
      <c r="D146" s="1" t="n">
        <v>45265</v>
      </c>
      <c r="E146" s="1" t="n">
        <v>46316</v>
      </c>
      <c r="F146" t="inlineStr">
        <is>
          <t>VÄSTRA GÖTALANDS LÄN</t>
        </is>
      </c>
      <c r="G146" t="inlineStr">
        <is>
          <t>VARA</t>
        </is>
      </c>
      <c r="I146" t="n">
        <v>1.2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s="2" t="inlineStr"/>
    </row>
    <row r="147" ht="15" customHeight="1">
      <c r="A147" t="inlineStr">
        <is>
          <t>A 9013-2023</t>
        </is>
      </c>
      <c r="B147" t="inlineStr">
        <is>
          <t>avverkningsanmälan</t>
        </is>
      </c>
      <c r="C147" t="inlineStr">
        <is>
          <t>Föryngringsavverkning</t>
        </is>
      </c>
      <c r="D147" s="1" t="n">
        <v>44979</v>
      </c>
      <c r="E147" s="1" t="n">
        <v>46316</v>
      </c>
      <c r="F147" t="inlineStr">
        <is>
          <t>VÄSTRA GÖTALANDS LÄN</t>
        </is>
      </c>
      <c r="G147" t="inlineStr">
        <is>
          <t>VARA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s="2" t="inlineStr"/>
    </row>
    <row r="148" ht="15" customHeight="1">
      <c r="A148" t="inlineStr">
        <is>
          <t>A 9410-2024</t>
        </is>
      </c>
      <c r="B148" t="inlineStr">
        <is>
          <t>avverkningsanmälan</t>
        </is>
      </c>
      <c r="C148" t="inlineStr">
        <is>
          <t>Föryngringsavverkning</t>
        </is>
      </c>
      <c r="D148" s="1" t="n">
        <v>45359</v>
      </c>
      <c r="E148" s="1" t="n">
        <v>46316</v>
      </c>
      <c r="F148" t="inlineStr">
        <is>
          <t>VÄSTRA GÖTALANDS LÄN</t>
        </is>
      </c>
      <c r="G148" t="inlineStr">
        <is>
          <t>VARA</t>
        </is>
      </c>
      <c r="I148" t="n">
        <v>1.1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s="2" t="inlineStr"/>
    </row>
    <row r="149" ht="15" customHeight="1">
      <c r="A149" t="inlineStr">
        <is>
          <t>A 9216-2024</t>
        </is>
      </c>
      <c r="B149" t="inlineStr">
        <is>
          <t>avverkningsanmälan</t>
        </is>
      </c>
      <c r="C149" t="inlineStr">
        <is>
          <t>Föryngringsavverkning</t>
        </is>
      </c>
      <c r="D149" s="1" t="n">
        <v>45358</v>
      </c>
      <c r="E149" s="1" t="n">
        <v>46316</v>
      </c>
      <c r="F149" t="inlineStr">
        <is>
          <t>VÄSTRA GÖTALANDS LÄN</t>
        </is>
      </c>
      <c r="G149" t="inlineStr">
        <is>
          <t>VARA</t>
        </is>
      </c>
      <c r="I149" t="n">
        <v>4.5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s="2" t="inlineStr"/>
    </row>
    <row r="150" ht="15" customHeight="1">
      <c r="A150" t="inlineStr">
        <is>
          <t>A 62775-2023</t>
        </is>
      </c>
      <c r="B150" t="inlineStr">
        <is>
          <t>avverkningsanmälan</t>
        </is>
      </c>
      <c r="C150" t="inlineStr">
        <is>
          <t>Avverkning för annat ändamål</t>
        </is>
      </c>
      <c r="D150" s="1" t="n">
        <v>45271</v>
      </c>
      <c r="E150" s="1" t="n">
        <v>46316</v>
      </c>
      <c r="F150" t="inlineStr">
        <is>
          <t>VÄSTRA GÖTALANDS LÄN</t>
        </is>
      </c>
      <c r="G150" t="inlineStr">
        <is>
          <t>VARA</t>
        </is>
      </c>
      <c r="I150" t="n">
        <v>1.4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s="2" t="inlineStr"/>
    </row>
    <row r="151" ht="15" customHeight="1">
      <c r="A151" t="inlineStr">
        <is>
          <t>A 42038-2024</t>
        </is>
      </c>
      <c r="B151" t="inlineStr">
        <is>
          <t>avverkningsanmälan</t>
        </is>
      </c>
      <c r="C151" t="inlineStr">
        <is>
          <t>Föryngringsavverkning</t>
        </is>
      </c>
      <c r="D151" s="1" t="n">
        <v>45561</v>
      </c>
      <c r="E151" s="1" t="n">
        <v>46316</v>
      </c>
      <c r="F151" t="inlineStr">
        <is>
          <t>VÄSTRA GÖTALANDS LÄN</t>
        </is>
      </c>
      <c r="G151" t="inlineStr">
        <is>
          <t>VARA</t>
        </is>
      </c>
      <c r="I151" t="n">
        <v>7.2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s="2" t="inlineStr"/>
    </row>
    <row r="152" ht="15" customHeight="1">
      <c r="A152" t="inlineStr">
        <is>
          <t>A 57759-2023</t>
        </is>
      </c>
      <c r="B152" t="inlineStr">
        <is>
          <t>avverkningsanmälan</t>
        </is>
      </c>
      <c r="C152" t="inlineStr">
        <is>
          <t>Föryngringsavverkning</t>
        </is>
      </c>
      <c r="D152" s="1" t="n">
        <v>45246</v>
      </c>
      <c r="E152" s="1" t="n">
        <v>46316</v>
      </c>
      <c r="F152" t="inlineStr">
        <is>
          <t>VÄSTRA GÖTALANDS LÄN</t>
        </is>
      </c>
      <c r="G152" t="inlineStr">
        <is>
          <t>VARA</t>
        </is>
      </c>
      <c r="I152" t="n">
        <v>0.8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s="2" t="inlineStr"/>
    </row>
    <row r="153" ht="15" customHeight="1">
      <c r="A153" t="inlineStr">
        <is>
          <t>A 54997-2025</t>
        </is>
      </c>
      <c r="B153" t="inlineStr">
        <is>
          <t>avverkningsanmälan</t>
        </is>
      </c>
      <c r="C153" t="inlineStr">
        <is>
          <t>Föryngringsavverkning</t>
        </is>
      </c>
      <c r="D153" s="1" t="n">
        <v>45967</v>
      </c>
      <c r="E153" s="1" t="n">
        <v>46316</v>
      </c>
      <c r="F153" t="inlineStr">
        <is>
          <t>VÄSTRA GÖTALANDS LÄN</t>
        </is>
      </c>
      <c r="G153" t="inlineStr">
        <is>
          <t>VARA</t>
        </is>
      </c>
      <c r="I153" t="n">
        <v>2.1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s="2" t="inlineStr"/>
    </row>
    <row r="154" ht="15" customHeight="1">
      <c r="A154" t="inlineStr">
        <is>
          <t>A 50812-2023</t>
        </is>
      </c>
      <c r="B154" t="inlineStr">
        <is>
          <t>avverkningsanmälan</t>
        </is>
      </c>
      <c r="C154" t="inlineStr">
        <is>
          <t>Föryngringsavverkning</t>
        </is>
      </c>
      <c r="D154" s="1" t="n">
        <v>45217</v>
      </c>
      <c r="E154" s="1" t="n">
        <v>46316</v>
      </c>
      <c r="F154" t="inlineStr">
        <is>
          <t>VÄSTRA GÖTALANDS LÄN</t>
        </is>
      </c>
      <c r="G154" t="inlineStr">
        <is>
          <t>VARA</t>
        </is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s="2" t="inlineStr"/>
    </row>
    <row r="155" ht="15" customHeight="1">
      <c r="A155" t="inlineStr">
        <is>
          <t>A 73305-2021</t>
        </is>
      </c>
      <c r="B155" t="inlineStr">
        <is>
          <t>avverkningsanmälan</t>
        </is>
      </c>
      <c r="C155" t="inlineStr">
        <is>
          <t>Föryngringsavverkning</t>
        </is>
      </c>
      <c r="D155" s="1" t="n">
        <v>44551</v>
      </c>
      <c r="E155" s="1" t="n">
        <v>46316</v>
      </c>
      <c r="F155" t="inlineStr">
        <is>
          <t>VÄSTRA GÖTALANDS LÄN</t>
        </is>
      </c>
      <c r="G155" t="inlineStr">
        <is>
          <t>VARA</t>
        </is>
      </c>
      <c r="I155" t="n">
        <v>3.3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s="2" t="inlineStr"/>
    </row>
    <row r="156" ht="15" customHeight="1">
      <c r="A156" t="inlineStr">
        <is>
          <t>A 18224-2022</t>
        </is>
      </c>
      <c r="B156" t="inlineStr">
        <is>
          <t>avverkningsanmälan</t>
        </is>
      </c>
      <c r="C156" t="inlineStr">
        <is>
          <t>Föryngringsavverkning</t>
        </is>
      </c>
      <c r="D156" s="1" t="n">
        <v>44685</v>
      </c>
      <c r="E156" s="1" t="n">
        <v>46316</v>
      </c>
      <c r="F156" t="inlineStr">
        <is>
          <t>VÄSTRA GÖTALANDS LÄN</t>
        </is>
      </c>
      <c r="G156" t="inlineStr">
        <is>
          <t>VARA</t>
        </is>
      </c>
      <c r="I156" t="n">
        <v>1.2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s="2" t="inlineStr"/>
    </row>
    <row r="157" ht="15" customHeight="1">
      <c r="A157" t="inlineStr">
        <is>
          <t>A 22721-2026</t>
        </is>
      </c>
      <c r="B157" t="inlineStr">
        <is>
          <t>avverkningsanmälan</t>
        </is>
      </c>
      <c r="C157" t="inlineStr">
        <is>
          <t>Föryngringsavverkning</t>
        </is>
      </c>
      <c r="D157" s="1" t="n">
        <v>46157</v>
      </c>
      <c r="E157" s="1" t="n">
        <v>46316</v>
      </c>
      <c r="F157" t="inlineStr">
        <is>
          <t>VÄSTRA GÖTALANDS LÄN</t>
        </is>
      </c>
      <c r="G157" t="inlineStr">
        <is>
          <t>VARA</t>
        </is>
      </c>
      <c r="I157" t="n">
        <v>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s="2" t="inlineStr"/>
    </row>
    <row r="158" ht="15" customHeight="1">
      <c r="A158" t="inlineStr">
        <is>
          <t>A 18244-2022</t>
        </is>
      </c>
      <c r="B158" t="inlineStr">
        <is>
          <t>avverkningsanmälan</t>
        </is>
      </c>
      <c r="C158" t="inlineStr">
        <is>
          <t>Föryngringsavverkning</t>
        </is>
      </c>
      <c r="D158" s="1" t="n">
        <v>44685</v>
      </c>
      <c r="E158" s="1" t="n">
        <v>46316</v>
      </c>
      <c r="F158" t="inlineStr">
        <is>
          <t>VÄSTRA GÖTALANDS LÄN</t>
        </is>
      </c>
      <c r="G158" t="inlineStr">
        <is>
          <t>VARA</t>
        </is>
      </c>
      <c r="I158" t="n">
        <v>1.9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s="2" t="inlineStr"/>
    </row>
    <row r="159" ht="15" customHeight="1">
      <c r="A159" t="inlineStr">
        <is>
          <t>A 12026-2024</t>
        </is>
      </c>
      <c r="B159" t="inlineStr">
        <is>
          <t>avverkningsanmälan</t>
        </is>
      </c>
      <c r="C159" t="inlineStr">
        <is>
          <t>Föryngringsavverkning</t>
        </is>
      </c>
      <c r="D159" s="1" t="n">
        <v>45377</v>
      </c>
      <c r="E159" s="1" t="n">
        <v>46316</v>
      </c>
      <c r="F159" t="inlineStr">
        <is>
          <t>VÄSTRA GÖTALANDS LÄN</t>
        </is>
      </c>
      <c r="G159" t="inlineStr">
        <is>
          <t>VARA</t>
        </is>
      </c>
      <c r="I159" t="n">
        <v>1.1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s="2" t="inlineStr"/>
    </row>
    <row r="160" ht="15" customHeight="1">
      <c r="A160" t="inlineStr">
        <is>
          <t>A 41281-2025</t>
        </is>
      </c>
      <c r="B160" t="inlineStr">
        <is>
          <t>avverkningsanmälan</t>
        </is>
      </c>
      <c r="C160" t="inlineStr">
        <is>
          <t>Föryngringsavverkning</t>
        </is>
      </c>
      <c r="D160" s="1" t="n">
        <v>45898</v>
      </c>
      <c r="E160" s="1" t="n">
        <v>46316</v>
      </c>
      <c r="F160" t="inlineStr">
        <is>
          <t>VÄSTRA GÖTALANDS LÄN</t>
        </is>
      </c>
      <c r="G160" t="inlineStr">
        <is>
          <t>VARA</t>
        </is>
      </c>
      <c r="I160" t="n">
        <v>4.1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s="2" t="inlineStr"/>
    </row>
    <row r="161" ht="15" customHeight="1">
      <c r="A161" t="inlineStr">
        <is>
          <t>A 51467-2023</t>
        </is>
      </c>
      <c r="B161" t="inlineStr">
        <is>
          <t>avverkningsanmälan</t>
        </is>
      </c>
      <c r="C161" t="inlineStr">
        <is>
          <t>Föryngringsavverkning</t>
        </is>
      </c>
      <c r="D161" s="1" t="n">
        <v>45221</v>
      </c>
      <c r="E161" s="1" t="n">
        <v>46316</v>
      </c>
      <c r="F161" t="inlineStr">
        <is>
          <t>VÄSTRA GÖTALANDS LÄN</t>
        </is>
      </c>
      <c r="G161" t="inlineStr">
        <is>
          <t>VARA</t>
        </is>
      </c>
      <c r="I161" t="n">
        <v>0.6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s="2" t="inlineStr"/>
    </row>
    <row r="162" ht="15" customHeight="1">
      <c r="A162" t="inlineStr">
        <is>
          <t>A 55667-2024</t>
        </is>
      </c>
      <c r="B162" t="inlineStr">
        <is>
          <t>avverkningsanmälan</t>
        </is>
      </c>
      <c r="C162" t="inlineStr">
        <is>
          <t>Föryngringsavverkning</t>
        </is>
      </c>
      <c r="D162" s="1" t="n">
        <v>45622</v>
      </c>
      <c r="E162" s="1" t="n">
        <v>46316</v>
      </c>
      <c r="F162" t="inlineStr">
        <is>
          <t>VÄSTRA GÖTALANDS LÄN</t>
        </is>
      </c>
      <c r="G162" t="inlineStr">
        <is>
          <t>VARA</t>
        </is>
      </c>
      <c r="I162" t="n">
        <v>0.5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s="2" t="inlineStr"/>
    </row>
    <row r="163" ht="15" customHeight="1">
      <c r="A163" t="inlineStr">
        <is>
          <t>A 14690-2024</t>
        </is>
      </c>
      <c r="B163" t="inlineStr">
        <is>
          <t>avverkningsanmälan</t>
        </is>
      </c>
      <c r="C163" t="inlineStr">
        <is>
          <t>Föryngringsavverkning</t>
        </is>
      </c>
      <c r="D163" s="1" t="n">
        <v>45397</v>
      </c>
      <c r="E163" s="1" t="n">
        <v>46316</v>
      </c>
      <c r="F163" t="inlineStr">
        <is>
          <t>VÄSTRA GÖTALANDS LÄN</t>
        </is>
      </c>
      <c r="G163" t="inlineStr">
        <is>
          <t>VARA</t>
        </is>
      </c>
      <c r="I163" t="n">
        <v>1.8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s="2" t="inlineStr"/>
    </row>
    <row r="164" ht="15" customHeight="1">
      <c r="A164" t="inlineStr">
        <is>
          <t>A 57256-2022</t>
        </is>
      </c>
      <c r="B164" t="inlineStr">
        <is>
          <t>avverkningsanmälan</t>
        </is>
      </c>
      <c r="C164" t="inlineStr">
        <is>
          <t>Föryngringsavverkning</t>
        </is>
      </c>
      <c r="D164" s="1" t="n">
        <v>44895</v>
      </c>
      <c r="E164" s="1" t="n">
        <v>46316</v>
      </c>
      <c r="F164" t="inlineStr">
        <is>
          <t>VÄSTRA GÖTALANDS LÄN</t>
        </is>
      </c>
      <c r="G164" t="inlineStr">
        <is>
          <t>VARA</t>
        </is>
      </c>
      <c r="I164" t="n">
        <v>2.6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s="2" t="inlineStr"/>
    </row>
    <row r="165" ht="15" customHeight="1">
      <c r="A165" t="inlineStr">
        <is>
          <t>A 57257-2022</t>
        </is>
      </c>
      <c r="B165" t="inlineStr">
        <is>
          <t>avverkningsanmälan</t>
        </is>
      </c>
      <c r="C165" t="inlineStr">
        <is>
          <t>Föryngringsavverkning</t>
        </is>
      </c>
      <c r="D165" s="1" t="n">
        <v>44895</v>
      </c>
      <c r="E165" s="1" t="n">
        <v>46316</v>
      </c>
      <c r="F165" t="inlineStr">
        <is>
          <t>VÄSTRA GÖTALANDS LÄN</t>
        </is>
      </c>
      <c r="G165" t="inlineStr">
        <is>
          <t>VARA</t>
        </is>
      </c>
      <c r="I165" t="n">
        <v>1.5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s="2" t="inlineStr"/>
    </row>
    <row r="166" ht="15" customHeight="1">
      <c r="A166" t="inlineStr">
        <is>
          <t>A 365-2022</t>
        </is>
      </c>
      <c r="B166" t="inlineStr">
        <is>
          <t>avverkningsanmälan</t>
        </is>
      </c>
      <c r="C166" t="inlineStr">
        <is>
          <t>Föryngringsavverkning</t>
        </is>
      </c>
      <c r="D166" s="1" t="n">
        <v>44565</v>
      </c>
      <c r="E166" s="1" t="n">
        <v>46316</v>
      </c>
      <c r="F166" t="inlineStr">
        <is>
          <t>VÄSTRA GÖTALANDS LÄN</t>
        </is>
      </c>
      <c r="G166" t="inlineStr">
        <is>
          <t>VARA</t>
        </is>
      </c>
      <c r="I166" t="n">
        <v>7.8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s="2" t="inlineStr"/>
    </row>
    <row r="167" ht="15" customHeight="1">
      <c r="A167" t="inlineStr">
        <is>
          <t>A 24715-2026</t>
        </is>
      </c>
      <c r="B167" t="inlineStr">
        <is>
          <t>avverkningsanmälan</t>
        </is>
      </c>
      <c r="C167" t="inlineStr">
        <is>
          <t>Föryngringsavverkning</t>
        </is>
      </c>
      <c r="D167" s="1" t="n">
        <v>46171</v>
      </c>
      <c r="E167" s="1" t="n">
        <v>46316</v>
      </c>
      <c r="F167" t="inlineStr">
        <is>
          <t>VÄSTRA GÖTALANDS LÄN</t>
        </is>
      </c>
      <c r="G167" t="inlineStr">
        <is>
          <t>VARA</t>
        </is>
      </c>
      <c r="I167" t="n">
        <v>2.3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s="2" t="inlineStr"/>
    </row>
    <row r="168" ht="15" customHeight="1">
      <c r="A168" t="inlineStr">
        <is>
          <t>A 50604-2025</t>
        </is>
      </c>
      <c r="B168" t="inlineStr">
        <is>
          <t>avverkningsanmälan</t>
        </is>
      </c>
      <c r="C168" t="inlineStr">
        <is>
          <t>Föryngringsavverkning</t>
        </is>
      </c>
      <c r="D168" s="1" t="n">
        <v>45944</v>
      </c>
      <c r="E168" s="1" t="n">
        <v>46316</v>
      </c>
      <c r="F168" t="inlineStr">
        <is>
          <t>VÄSTRA GÖTALANDS LÄN</t>
        </is>
      </c>
      <c r="G168" t="inlineStr">
        <is>
          <t>VARA</t>
        </is>
      </c>
      <c r="I168" t="n">
        <v>1.3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s="2" t="inlineStr"/>
    </row>
    <row r="169" ht="15" customHeight="1">
      <c r="A169" t="inlineStr">
        <is>
          <t>A 25827-2026</t>
        </is>
      </c>
      <c r="B169" t="inlineStr">
        <is>
          <t>avverkningsanmälan</t>
        </is>
      </c>
      <c r="C169" t="inlineStr">
        <is>
          <t>Föryngringsavverkning</t>
        </is>
      </c>
      <c r="D169" s="1" t="n">
        <v>46178</v>
      </c>
      <c r="E169" s="1" t="n">
        <v>46316</v>
      </c>
      <c r="F169" t="inlineStr">
        <is>
          <t>VÄSTRA GÖTALANDS LÄN</t>
        </is>
      </c>
      <c r="G169" t="inlineStr">
        <is>
          <t>VARA</t>
        </is>
      </c>
      <c r="I169" t="n">
        <v>0.5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s="2" t="inlineStr"/>
    </row>
    <row r="170" ht="15" customHeight="1">
      <c r="A170" t="inlineStr">
        <is>
          <t>A 57303-2024</t>
        </is>
      </c>
      <c r="B170" t="inlineStr">
        <is>
          <t>avverkningsanmälan</t>
        </is>
      </c>
      <c r="C170" t="inlineStr">
        <is>
          <t>Föryngringsavverkning</t>
        </is>
      </c>
      <c r="D170" s="1" t="n">
        <v>45629</v>
      </c>
      <c r="E170" s="1" t="n">
        <v>46316</v>
      </c>
      <c r="F170" t="inlineStr">
        <is>
          <t>VÄSTRA GÖTALANDS LÄN</t>
        </is>
      </c>
      <c r="G170" t="inlineStr">
        <is>
          <t>VARA</t>
        </is>
      </c>
      <c r="I170" t="n">
        <v>2.1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s="2" t="inlineStr"/>
    </row>
    <row r="171" ht="15" customHeight="1">
      <c r="A171" t="inlineStr">
        <is>
          <t>A 6454-2024</t>
        </is>
      </c>
      <c r="B171" t="inlineStr">
        <is>
          <t>avverkningsanmälan</t>
        </is>
      </c>
      <c r="C171" t="inlineStr">
        <is>
          <t>Föryngringsavverkning</t>
        </is>
      </c>
      <c r="D171" s="1" t="n">
        <v>45338</v>
      </c>
      <c r="E171" s="1" t="n">
        <v>46316</v>
      </c>
      <c r="F171" t="inlineStr">
        <is>
          <t>VÄSTRA GÖTALANDS LÄN</t>
        </is>
      </c>
      <c r="G171" t="inlineStr">
        <is>
          <t>VARA</t>
        </is>
      </c>
      <c r="H171" t="inlineStr">
        <is>
          <t>Kyrkan</t>
        </is>
      </c>
      <c r="I171" t="n">
        <v>3.6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s="2" t="inlineStr"/>
    </row>
    <row r="172" ht="15" customHeight="1">
      <c r="A172" t="inlineStr">
        <is>
          <t>A 49820-2022</t>
        </is>
      </c>
      <c r="B172" t="inlineStr">
        <is>
          <t>avverkningsanmälan</t>
        </is>
      </c>
      <c r="C172" t="inlineStr">
        <is>
          <t>Föryngringsavverkning</t>
        </is>
      </c>
      <c r="D172" s="1" t="n">
        <v>44862</v>
      </c>
      <c r="E172" s="1" t="n">
        <v>46316</v>
      </c>
      <c r="F172" t="inlineStr">
        <is>
          <t>VÄSTRA GÖTALANDS LÄN</t>
        </is>
      </c>
      <c r="G172" t="inlineStr">
        <is>
          <t>VARA</t>
        </is>
      </c>
      <c r="I172" t="n">
        <v>1.1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s="2" t="inlineStr"/>
    </row>
    <row r="173" ht="15" customHeight="1">
      <c r="A173" t="inlineStr">
        <is>
          <t>A 33300-2023</t>
        </is>
      </c>
      <c r="B173" t="inlineStr">
        <is>
          <t>avverkningsanmälan</t>
        </is>
      </c>
      <c r="C173" t="inlineStr">
        <is>
          <t>Föryngringsavverkning</t>
        </is>
      </c>
      <c r="D173" s="1" t="n">
        <v>45116</v>
      </c>
      <c r="E173" s="1" t="n">
        <v>46316</v>
      </c>
      <c r="F173" t="inlineStr">
        <is>
          <t>VÄSTRA GÖTALANDS LÄN</t>
        </is>
      </c>
      <c r="G173" t="inlineStr">
        <is>
          <t>VARA</t>
        </is>
      </c>
      <c r="I173" t="n">
        <v>1.4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s="2" t="inlineStr"/>
    </row>
    <row r="174" ht="15" customHeight="1">
      <c r="A174" t="inlineStr">
        <is>
          <t>A 33301-2023</t>
        </is>
      </c>
      <c r="B174" t="inlineStr">
        <is>
          <t>avverkningsanmälan</t>
        </is>
      </c>
      <c r="C174" t="inlineStr">
        <is>
          <t>Föryngringsavverkning</t>
        </is>
      </c>
      <c r="D174" s="1" t="n">
        <v>45116</v>
      </c>
      <c r="E174" s="1" t="n">
        <v>46316</v>
      </c>
      <c r="F174" t="inlineStr">
        <is>
          <t>VÄSTRA GÖTALANDS LÄN</t>
        </is>
      </c>
      <c r="G174" t="inlineStr">
        <is>
          <t>VARA</t>
        </is>
      </c>
      <c r="I174" t="n">
        <v>1.3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s="2" t="inlineStr"/>
    </row>
    <row r="175" ht="15" customHeight="1">
      <c r="A175" t="inlineStr">
        <is>
          <t>A 35042-2023</t>
        </is>
      </c>
      <c r="B175" t="inlineStr">
        <is>
          <t>avverkningsanmälan</t>
        </is>
      </c>
      <c r="C175" t="inlineStr">
        <is>
          <t>Föryngringsavverkning</t>
        </is>
      </c>
      <c r="D175" s="1" t="n">
        <v>45142</v>
      </c>
      <c r="E175" s="1" t="n">
        <v>46316</v>
      </c>
      <c r="F175" t="inlineStr">
        <is>
          <t>VÄSTRA GÖTALANDS LÄN</t>
        </is>
      </c>
      <c r="G175" t="inlineStr">
        <is>
          <t>VARA</t>
        </is>
      </c>
      <c r="I175" t="n">
        <v>2.1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s="2" t="inlineStr"/>
    </row>
    <row r="176" ht="15" customHeight="1">
      <c r="A176" t="inlineStr">
        <is>
          <t>A 10728-2023</t>
        </is>
      </c>
      <c r="B176" t="inlineStr">
        <is>
          <t>avverkningsanmälan</t>
        </is>
      </c>
      <c r="C176" t="inlineStr">
        <is>
          <t>Föryngringsavverkning</t>
        </is>
      </c>
      <c r="D176" s="1" t="n">
        <v>44988</v>
      </c>
      <c r="E176" s="1" t="n">
        <v>46316</v>
      </c>
      <c r="F176" t="inlineStr">
        <is>
          <t>VÄSTRA GÖTALANDS LÄN</t>
        </is>
      </c>
      <c r="G176" t="inlineStr">
        <is>
          <t>VARA</t>
        </is>
      </c>
      <c r="I176" t="n">
        <v>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s="2" t="inlineStr"/>
    </row>
    <row r="177" ht="15" customHeight="1">
      <c r="A177" t="inlineStr">
        <is>
          <t>A 28195-2026</t>
        </is>
      </c>
      <c r="B177" t="inlineStr">
        <is>
          <t>avverkningsanmälan</t>
        </is>
      </c>
      <c r="C177" t="inlineStr">
        <is>
          <t>Föryngringsavverkning</t>
        </is>
      </c>
      <c r="D177" s="1" t="n">
        <v>46196</v>
      </c>
      <c r="E177" s="1" t="n">
        <v>46316</v>
      </c>
      <c r="F177" t="inlineStr">
        <is>
          <t>VÄSTRA GÖTALANDS LÄN</t>
        </is>
      </c>
      <c r="G177" t="inlineStr">
        <is>
          <t>VARA</t>
        </is>
      </c>
      <c r="I177" t="n">
        <v>1.7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s="2" t="inlineStr"/>
    </row>
    <row r="178" ht="15" customHeight="1">
      <c r="A178" t="inlineStr">
        <is>
          <t>A 63426-2023</t>
        </is>
      </c>
      <c r="B178" t="inlineStr">
        <is>
          <t>avverkningsanmälan</t>
        </is>
      </c>
      <c r="C178" t="inlineStr">
        <is>
          <t>Föryngringsavverkning</t>
        </is>
      </c>
      <c r="D178" s="1" t="n">
        <v>45274</v>
      </c>
      <c r="E178" s="1" t="n">
        <v>46316</v>
      </c>
      <c r="F178" t="inlineStr">
        <is>
          <t>VÄSTRA GÖTALANDS LÄN</t>
        </is>
      </c>
      <c r="G178" t="inlineStr">
        <is>
          <t>VARA</t>
        </is>
      </c>
      <c r="I178" t="n">
        <v>1.2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s="2" t="inlineStr"/>
    </row>
    <row r="179" ht="15" customHeight="1">
      <c r="A179" t="inlineStr">
        <is>
          <t>A 28168-2026</t>
        </is>
      </c>
      <c r="B179" t="inlineStr">
        <is>
          <t>avverkningsanmälan</t>
        </is>
      </c>
      <c r="C179" t="inlineStr">
        <is>
          <t>Föryngringsavverkning</t>
        </is>
      </c>
      <c r="D179" s="1" t="n">
        <v>46195</v>
      </c>
      <c r="E179" s="1" t="n">
        <v>46316</v>
      </c>
      <c r="F179" t="inlineStr">
        <is>
          <t>VÄSTRA GÖTALANDS LÄN</t>
        </is>
      </c>
      <c r="G179" t="inlineStr">
        <is>
          <t>VARA</t>
        </is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s="2" t="inlineStr"/>
    </row>
    <row r="180" ht="15" customHeight="1">
      <c r="A180" t="inlineStr">
        <is>
          <t>A 57420-2024</t>
        </is>
      </c>
      <c r="B180" t="inlineStr">
        <is>
          <t>avverkningsanmälan</t>
        </is>
      </c>
      <c r="C180" t="inlineStr">
        <is>
          <t>Föryngringsavverkning</t>
        </is>
      </c>
      <c r="D180" s="1" t="n">
        <v>45629</v>
      </c>
      <c r="E180" s="1" t="n">
        <v>46316</v>
      </c>
      <c r="F180" t="inlineStr">
        <is>
          <t>VÄSTRA GÖTALANDS LÄN</t>
        </is>
      </c>
      <c r="G180" t="inlineStr">
        <is>
          <t>VARA</t>
        </is>
      </c>
      <c r="I180" t="n">
        <v>6.6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s="2" t="inlineStr"/>
    </row>
    <row r="181" ht="15" customHeight="1">
      <c r="A181" t="inlineStr">
        <is>
          <t>A 27980-2026</t>
        </is>
      </c>
      <c r="B181" t="inlineStr">
        <is>
          <t>avverkningsanmälan</t>
        </is>
      </c>
      <c r="C181" t="inlineStr">
        <is>
          <t>Föryngringsavverkning</t>
        </is>
      </c>
      <c r="D181" s="1" t="n">
        <v>46195</v>
      </c>
      <c r="E181" s="1" t="n">
        <v>46316</v>
      </c>
      <c r="F181" t="inlineStr">
        <is>
          <t>VÄSTRA GÖTALANDS LÄN</t>
        </is>
      </c>
      <c r="G181" t="inlineStr">
        <is>
          <t>VARA</t>
        </is>
      </c>
      <c r="I181" t="n">
        <v>0.5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s="2" t="inlineStr"/>
    </row>
    <row r="182" ht="15" customHeight="1">
      <c r="A182" t="inlineStr">
        <is>
          <t>A 28706-2026</t>
        </is>
      </c>
      <c r="B182" t="inlineStr">
        <is>
          <t>avverkningsanmälan</t>
        </is>
      </c>
      <c r="C182" t="inlineStr">
        <is>
          <t>Föryngringsavverkning</t>
        </is>
      </c>
      <c r="D182" s="1" t="n">
        <v>46198</v>
      </c>
      <c r="E182" s="1" t="n">
        <v>46316</v>
      </c>
      <c r="F182" t="inlineStr">
        <is>
          <t>VÄSTRA GÖTALANDS LÄN</t>
        </is>
      </c>
      <c r="G182" t="inlineStr">
        <is>
          <t>VARA</t>
        </is>
      </c>
      <c r="I182" t="n">
        <v>5.5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s="2" t="inlineStr"/>
    </row>
    <row r="183" ht="15" customHeight="1">
      <c r="A183" t="inlineStr">
        <is>
          <t>A 28524-2026</t>
        </is>
      </c>
      <c r="B183" t="inlineStr">
        <is>
          <t>avverkningsanmälan</t>
        </is>
      </c>
      <c r="C183" t="inlineStr">
        <is>
          <t>Föryngringsavverkning</t>
        </is>
      </c>
      <c r="D183" s="1" t="n">
        <v>46197</v>
      </c>
      <c r="E183" s="1" t="n">
        <v>46316</v>
      </c>
      <c r="F183" t="inlineStr">
        <is>
          <t>VÄSTRA GÖTALANDS LÄN</t>
        </is>
      </c>
      <c r="G183" t="inlineStr">
        <is>
          <t>VARA</t>
        </is>
      </c>
      <c r="I183" t="n">
        <v>0.6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s="2" t="inlineStr"/>
    </row>
    <row r="184" ht="15" customHeight="1">
      <c r="A184" t="inlineStr">
        <is>
          <t>A 43754-2022</t>
        </is>
      </c>
      <c r="B184" t="inlineStr">
        <is>
          <t>avverkningsanmälan</t>
        </is>
      </c>
      <c r="C184" t="inlineStr">
        <is>
          <t>Föryngringsavverkning</t>
        </is>
      </c>
      <c r="D184" s="1" t="n">
        <v>44837</v>
      </c>
      <c r="E184" s="1" t="n">
        <v>46316</v>
      </c>
      <c r="F184" t="inlineStr">
        <is>
          <t>VÄSTRA GÖTALANDS LÄN</t>
        </is>
      </c>
      <c r="G184" t="inlineStr">
        <is>
          <t>VARA</t>
        </is>
      </c>
      <c r="I184" t="n">
        <v>1.1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s="2" t="inlineStr"/>
    </row>
    <row r="185" ht="15" customHeight="1">
      <c r="A185" t="inlineStr">
        <is>
          <t>A 62313-2023</t>
        </is>
      </c>
      <c r="B185" t="inlineStr">
        <is>
          <t>avverkningsanmälan</t>
        </is>
      </c>
      <c r="C185" t="inlineStr">
        <is>
          <t>Föryngringsavverkning</t>
        </is>
      </c>
      <c r="D185" s="1" t="n">
        <v>45267</v>
      </c>
      <c r="E185" s="1" t="n">
        <v>46316</v>
      </c>
      <c r="F185" t="inlineStr">
        <is>
          <t>VÄSTRA GÖTALANDS LÄN</t>
        </is>
      </c>
      <c r="G185" t="inlineStr">
        <is>
          <t>VARA</t>
        </is>
      </c>
      <c r="I185" t="n">
        <v>1.2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s="2" t="inlineStr"/>
    </row>
    <row r="186" ht="15" customHeight="1">
      <c r="A186" t="inlineStr">
        <is>
          <t>A 43216-2025</t>
        </is>
      </c>
      <c r="B186" t="inlineStr">
        <is>
          <t>avverkningsanmälan</t>
        </is>
      </c>
      <c r="C186" t="inlineStr">
        <is>
          <t>Föryngringsavverkning</t>
        </is>
      </c>
      <c r="D186" s="1" t="n">
        <v>45910</v>
      </c>
      <c r="E186" s="1" t="n">
        <v>46316</v>
      </c>
      <c r="F186" t="inlineStr">
        <is>
          <t>VÄSTRA GÖTALANDS LÄN</t>
        </is>
      </c>
      <c r="G186" t="inlineStr">
        <is>
          <t>VARA</t>
        </is>
      </c>
      <c r="I186" t="n">
        <v>3.4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s="2" t="inlineStr"/>
    </row>
    <row r="187" ht="15" customHeight="1">
      <c r="A187" t="inlineStr">
        <is>
          <t>A 30468-2026</t>
        </is>
      </c>
      <c r="B187" t="inlineStr">
        <is>
          <t>avverkningsanmälan</t>
        </is>
      </c>
      <c r="C187" t="inlineStr">
        <is>
          <t>Föryngringsavverkning</t>
        </is>
      </c>
      <c r="D187" s="1" t="n">
        <v>46209</v>
      </c>
      <c r="E187" s="1" t="n">
        <v>46316</v>
      </c>
      <c r="F187" t="inlineStr">
        <is>
          <t>VÄSTRA GÖTALANDS LÄN</t>
        </is>
      </c>
      <c r="G187" t="inlineStr">
        <is>
          <t>VARA</t>
        </is>
      </c>
      <c r="I187" t="n">
        <v>0.8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s="2" t="inlineStr"/>
    </row>
    <row r="188" ht="15" customHeight="1">
      <c r="A188" t="inlineStr">
        <is>
          <t>A 30884-2026</t>
        </is>
      </c>
      <c r="B188" t="inlineStr">
        <is>
          <t>avverkningsanmälan</t>
        </is>
      </c>
      <c r="C188" t="inlineStr">
        <is>
          <t>Föryngringsavverkning</t>
        </is>
      </c>
      <c r="D188" s="1" t="n">
        <v>46212</v>
      </c>
      <c r="E188" s="1" t="n">
        <v>46316</v>
      </c>
      <c r="F188" t="inlineStr">
        <is>
          <t>VÄSTRA GÖTALANDS LÄN</t>
        </is>
      </c>
      <c r="G188" t="inlineStr">
        <is>
          <t>VARA</t>
        </is>
      </c>
      <c r="I188" t="n">
        <v>0.8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s="2" t="inlineStr"/>
    </row>
    <row r="189" ht="15" customHeight="1">
      <c r="A189" t="inlineStr">
        <is>
          <t>A 4278-2026</t>
        </is>
      </c>
      <c r="B189" t="inlineStr">
        <is>
          <t>avverkningsanmälan</t>
        </is>
      </c>
      <c r="C189" t="inlineStr">
        <is>
          <t>Föryngringsavverkning</t>
        </is>
      </c>
      <c r="D189" s="1" t="n">
        <v>46045</v>
      </c>
      <c r="E189" s="1" t="n">
        <v>46316</v>
      </c>
      <c r="F189" t="inlineStr">
        <is>
          <t>VÄSTRA GÖTALANDS LÄN</t>
        </is>
      </c>
      <c r="G189" t="inlineStr">
        <is>
          <t>VARA</t>
        </is>
      </c>
      <c r="I189" t="n">
        <v>2.7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s="2" t="inlineStr"/>
    </row>
    <row r="190" ht="15" customHeight="1">
      <c r="A190" t="inlineStr">
        <is>
          <t>A 2781-2025</t>
        </is>
      </c>
      <c r="B190" t="inlineStr">
        <is>
          <t>avverkningsanmälan</t>
        </is>
      </c>
      <c r="C190" t="inlineStr">
        <is>
          <t>Föryngringsavverkning</t>
        </is>
      </c>
      <c r="D190" s="1" t="n">
        <v>45677</v>
      </c>
      <c r="E190" s="1" t="n">
        <v>46316</v>
      </c>
      <c r="F190" t="inlineStr">
        <is>
          <t>VÄSTRA GÖTALANDS LÄN</t>
        </is>
      </c>
      <c r="G190" t="inlineStr">
        <is>
          <t>VARA</t>
        </is>
      </c>
      <c r="I190" t="n">
        <v>1.4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s="2" t="inlineStr"/>
    </row>
    <row r="191" ht="15" customHeight="1">
      <c r="A191" t="inlineStr">
        <is>
          <t>A 31440-2026</t>
        </is>
      </c>
      <c r="B191" t="inlineStr">
        <is>
          <t>avverkningsanmälan</t>
        </is>
      </c>
      <c r="C191" t="inlineStr">
        <is>
          <t>Föryngringsavverkning</t>
        </is>
      </c>
      <c r="D191" s="1" t="n">
        <v>46220</v>
      </c>
      <c r="E191" s="1" t="n">
        <v>46316</v>
      </c>
      <c r="F191" t="inlineStr">
        <is>
          <t>VÄSTRA GÖTALANDS LÄN</t>
        </is>
      </c>
      <c r="G191" t="inlineStr">
        <is>
          <t>VARA</t>
        </is>
      </c>
      <c r="I191" t="n">
        <v>2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s="2" t="inlineStr"/>
    </row>
    <row r="192" ht="15" customHeight="1">
      <c r="A192" t="inlineStr">
        <is>
          <t>A 31419-2026</t>
        </is>
      </c>
      <c r="B192" t="inlineStr">
        <is>
          <t>avverkningsanmälan</t>
        </is>
      </c>
      <c r="C192" t="inlineStr">
        <is>
          <t>Föryngringsavverkning</t>
        </is>
      </c>
      <c r="D192" s="1" t="n">
        <v>46220</v>
      </c>
      <c r="E192" s="1" t="n">
        <v>46316</v>
      </c>
      <c r="F192" t="inlineStr">
        <is>
          <t>VÄSTRA GÖTALANDS LÄN</t>
        </is>
      </c>
      <c r="G192" t="inlineStr">
        <is>
          <t>VARA</t>
        </is>
      </c>
      <c r="I192" t="n">
        <v>15.5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s="2" t="inlineStr"/>
    </row>
    <row r="193" ht="15" customHeight="1">
      <c r="A193" t="inlineStr">
        <is>
          <t>A 4812-2025</t>
        </is>
      </c>
      <c r="B193" t="inlineStr">
        <is>
          <t>avverkningsanmälan</t>
        </is>
      </c>
      <c r="C193" t="inlineStr">
        <is>
          <t>Föryngringsavverkning</t>
        </is>
      </c>
      <c r="D193" s="1" t="n">
        <v>45688</v>
      </c>
      <c r="E193" s="1" t="n">
        <v>46316</v>
      </c>
      <c r="F193" t="inlineStr">
        <is>
          <t>VÄSTRA GÖTALANDS LÄN</t>
        </is>
      </c>
      <c r="G193" t="inlineStr">
        <is>
          <t>VARA</t>
        </is>
      </c>
      <c r="H193" t="inlineStr">
        <is>
          <t>Sveaskog</t>
        </is>
      </c>
      <c r="I193" t="n">
        <v>0.7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s="2" t="inlineStr"/>
    </row>
    <row r="194" ht="15" customHeight="1">
      <c r="A194" t="inlineStr">
        <is>
          <t>A 31438-2026</t>
        </is>
      </c>
      <c r="B194" t="inlineStr">
        <is>
          <t>avverkningsanmälan</t>
        </is>
      </c>
      <c r="C194" t="inlineStr">
        <is>
          <t>Föryngringsavverkning</t>
        </is>
      </c>
      <c r="D194" s="1" t="n">
        <v>46220</v>
      </c>
      <c r="E194" s="1" t="n">
        <v>46316</v>
      </c>
      <c r="F194" t="inlineStr">
        <is>
          <t>VÄSTRA GÖTALANDS LÄN</t>
        </is>
      </c>
      <c r="G194" t="inlineStr">
        <is>
          <t>VARA</t>
        </is>
      </c>
      <c r="I194" t="n">
        <v>2.2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s="2" t="inlineStr"/>
    </row>
    <row r="195" ht="15" customHeight="1">
      <c r="A195" t="inlineStr">
        <is>
          <t>A 37726-2024</t>
        </is>
      </c>
      <c r="B195" t="inlineStr">
        <is>
          <t>avverkningsanmälan</t>
        </is>
      </c>
      <c r="C195" t="inlineStr">
        <is>
          <t>Föryngringsavverkning</t>
        </is>
      </c>
      <c r="D195" s="1" t="n">
        <v>45541</v>
      </c>
      <c r="E195" s="1" t="n">
        <v>46316</v>
      </c>
      <c r="F195" t="inlineStr">
        <is>
          <t>VÄSTRA GÖTALANDS LÄN</t>
        </is>
      </c>
      <c r="G195" t="inlineStr">
        <is>
          <t>VARA</t>
        </is>
      </c>
      <c r="I195" t="n">
        <v>1.2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s="2" t="inlineStr"/>
    </row>
    <row r="196" ht="15" customHeight="1">
      <c r="A196" t="inlineStr">
        <is>
          <t>A 2452-2022</t>
        </is>
      </c>
      <c r="B196" t="inlineStr">
        <is>
          <t>avverkningsanmälan</t>
        </is>
      </c>
      <c r="C196" t="inlineStr">
        <is>
          <t>Föryngringsavverkning</t>
        </is>
      </c>
      <c r="D196" s="1" t="n">
        <v>44579</v>
      </c>
      <c r="E196" s="1" t="n">
        <v>46316</v>
      </c>
      <c r="F196" t="inlineStr">
        <is>
          <t>VÄSTRA GÖTALANDS LÄN</t>
        </is>
      </c>
      <c r="G196" t="inlineStr">
        <is>
          <t>VARA</t>
        </is>
      </c>
      <c r="I196" t="n">
        <v>1.1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s="2" t="inlineStr"/>
    </row>
    <row r="197" ht="15" customHeight="1">
      <c r="A197" t="inlineStr">
        <is>
          <t>A 31733-2026</t>
        </is>
      </c>
      <c r="B197" t="inlineStr">
        <is>
          <t>avverkningsanmälan</t>
        </is>
      </c>
      <c r="C197" t="inlineStr">
        <is>
          <t>Föryngringsavverkning</t>
        </is>
      </c>
      <c r="D197" s="1" t="n">
        <v>46227</v>
      </c>
      <c r="E197" s="1" t="n">
        <v>46316</v>
      </c>
      <c r="F197" t="inlineStr">
        <is>
          <t>VÄSTRA GÖTALANDS LÄN</t>
        </is>
      </c>
      <c r="G197" t="inlineStr">
        <is>
          <t>VARA</t>
        </is>
      </c>
      <c r="I197" t="n">
        <v>1.1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s="2" t="inlineStr"/>
    </row>
    <row r="198" ht="15" customHeight="1">
      <c r="A198" t="inlineStr">
        <is>
          <t>A 50673-2024</t>
        </is>
      </c>
      <c r="B198" t="inlineStr">
        <is>
          <t>avverkningsanmälan</t>
        </is>
      </c>
      <c r="C198" t="inlineStr">
        <is>
          <t>Föryngringsavverkning</t>
        </is>
      </c>
      <c r="D198" s="1" t="n">
        <v>45601</v>
      </c>
      <c r="E198" s="1" t="n">
        <v>46316</v>
      </c>
      <c r="F198" t="inlineStr">
        <is>
          <t>VÄSTRA GÖTALANDS LÄN</t>
        </is>
      </c>
      <c r="G198" t="inlineStr">
        <is>
          <t>VARA</t>
        </is>
      </c>
      <c r="I198" t="n">
        <v>5.1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s="2" t="inlineStr"/>
    </row>
    <row r="199" ht="15" customHeight="1">
      <c r="A199" t="inlineStr">
        <is>
          <t>A 47332-2023</t>
        </is>
      </c>
      <c r="B199" t="inlineStr">
        <is>
          <t>avverkningsanmälan</t>
        </is>
      </c>
      <c r="C199" t="inlineStr">
        <is>
          <t>Föryngringsavverkning</t>
        </is>
      </c>
      <c r="D199" s="1" t="n">
        <v>45202</v>
      </c>
      <c r="E199" s="1" t="n">
        <v>46316</v>
      </c>
      <c r="F199" t="inlineStr">
        <is>
          <t>VÄSTRA GÖTALANDS LÄN</t>
        </is>
      </c>
      <c r="G199" t="inlineStr">
        <is>
          <t>VARA</t>
        </is>
      </c>
      <c r="I199" t="n">
        <v>0.5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s="2" t="inlineStr"/>
    </row>
    <row r="200" ht="15" customHeight="1">
      <c r="A200" t="inlineStr">
        <is>
          <t>A 61879-2023</t>
        </is>
      </c>
      <c r="B200" t="inlineStr">
        <is>
          <t>avverkningsanmälan</t>
        </is>
      </c>
      <c r="C200" t="inlineStr">
        <is>
          <t>Föryngringsavverkning</t>
        </is>
      </c>
      <c r="D200" s="1" t="n">
        <v>45266</v>
      </c>
      <c r="E200" s="1" t="n">
        <v>46316</v>
      </c>
      <c r="F200" t="inlineStr">
        <is>
          <t>VÄSTRA GÖTALANDS LÄN</t>
        </is>
      </c>
      <c r="G200" t="inlineStr">
        <is>
          <t>VARA</t>
        </is>
      </c>
      <c r="I200" t="n">
        <v>0.8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s="2" t="inlineStr"/>
    </row>
    <row r="201" ht="15" customHeight="1">
      <c r="A201" t="inlineStr">
        <is>
          <t>A 13481-2023</t>
        </is>
      </c>
      <c r="B201" t="inlineStr">
        <is>
          <t>avverkningsanmälan</t>
        </is>
      </c>
      <c r="C201" t="inlineStr">
        <is>
          <t>Föryngringsavverkning</t>
        </is>
      </c>
      <c r="D201" s="1" t="n">
        <v>45005</v>
      </c>
      <c r="E201" s="1" t="n">
        <v>46316</v>
      </c>
      <c r="F201" t="inlineStr">
        <is>
          <t>VÄSTRA GÖTALANDS LÄN</t>
        </is>
      </c>
      <c r="G201" t="inlineStr">
        <is>
          <t>VARA</t>
        </is>
      </c>
      <c r="I201" t="n">
        <v>0.7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s="2" t="inlineStr"/>
    </row>
    <row r="202" ht="15" customHeight="1">
      <c r="A202" t="inlineStr">
        <is>
          <t>A 39054-2026</t>
        </is>
      </c>
      <c r="B202" t="inlineStr">
        <is>
          <t>avverkningsanmälan</t>
        </is>
      </c>
      <c r="C202" t="inlineStr">
        <is>
          <t>Föryngringsavverkning</t>
        </is>
      </c>
      <c r="D202" s="1" t="n">
        <v>46287</v>
      </c>
      <c r="E202" s="1" t="n">
        <v>46316</v>
      </c>
      <c r="F202" t="inlineStr">
        <is>
          <t>VÄSTRA GÖTALANDS LÄN</t>
        </is>
      </c>
      <c r="G202" t="inlineStr">
        <is>
          <t>VARA</t>
        </is>
      </c>
      <c r="I202" t="n">
        <v>2.8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s="2" t="inlineStr"/>
    </row>
    <row r="203" ht="15" customHeight="1">
      <c r="A203" t="inlineStr">
        <is>
          <t>A 20196-2024</t>
        </is>
      </c>
      <c r="B203" t="inlineStr">
        <is>
          <t>avverkningsanmälan</t>
        </is>
      </c>
      <c r="C203" t="inlineStr">
        <is>
          <t>Föryngringsavverkning</t>
        </is>
      </c>
      <c r="D203" s="1" t="n">
        <v>45434</v>
      </c>
      <c r="E203" s="1" t="n">
        <v>46316</v>
      </c>
      <c r="F203" t="inlineStr">
        <is>
          <t>VÄSTRA GÖTALANDS LÄN</t>
        </is>
      </c>
      <c r="G203" t="inlineStr">
        <is>
          <t>VARA</t>
        </is>
      </c>
      <c r="I203" t="n">
        <v>0.7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s="2" t="inlineStr"/>
    </row>
    <row r="204" ht="15" customHeight="1">
      <c r="A204" t="inlineStr">
        <is>
          <t>A 39380-2026</t>
        </is>
      </c>
      <c r="B204" t="inlineStr">
        <is>
          <t>avverkningsanmälan</t>
        </is>
      </c>
      <c r="C204" t="inlineStr">
        <is>
          <t>Föryngringsavverkning</t>
        </is>
      </c>
      <c r="D204" s="1" t="n">
        <v>46288</v>
      </c>
      <c r="E204" s="1" t="n">
        <v>46316</v>
      </c>
      <c r="F204" t="inlineStr">
        <is>
          <t>VÄSTRA GÖTALANDS LÄN</t>
        </is>
      </c>
      <c r="G204" t="inlineStr">
        <is>
          <t>VARA</t>
        </is>
      </c>
      <c r="I204" t="n">
        <v>3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s="2" t="inlineStr"/>
    </row>
    <row r="205" ht="15" customHeight="1">
      <c r="A205" t="inlineStr">
        <is>
          <t>A 59786-2022</t>
        </is>
      </c>
      <c r="B205" t="inlineStr">
        <is>
          <t>avverkningsanmälan</t>
        </is>
      </c>
      <c r="C205" t="inlineStr">
        <is>
          <t>Föryngringsavverkning</t>
        </is>
      </c>
      <c r="D205" s="1" t="n">
        <v>44900</v>
      </c>
      <c r="E205" s="1" t="n">
        <v>46316</v>
      </c>
      <c r="F205" t="inlineStr">
        <is>
          <t>VÄSTRA GÖTALANDS LÄN</t>
        </is>
      </c>
      <c r="G205" t="inlineStr">
        <is>
          <t>VARA</t>
        </is>
      </c>
      <c r="I205" t="n">
        <v>1.4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s="2" t="inlineStr"/>
    </row>
    <row r="206" ht="15" customHeight="1">
      <c r="A206" t="inlineStr">
        <is>
          <t>A 35035-2023</t>
        </is>
      </c>
      <c r="B206" t="inlineStr">
        <is>
          <t>avverkningsanmälan</t>
        </is>
      </c>
      <c r="C206" t="inlineStr">
        <is>
          <t>Föryngringsavverkning</t>
        </is>
      </c>
      <c r="D206" s="1" t="n">
        <v>45142</v>
      </c>
      <c r="E206" s="1" t="n">
        <v>46316</v>
      </c>
      <c r="F206" t="inlineStr">
        <is>
          <t>VÄSTRA GÖTALANDS LÄN</t>
        </is>
      </c>
      <c r="G206" t="inlineStr">
        <is>
          <t>VARA</t>
        </is>
      </c>
      <c r="I206" t="n">
        <v>1.1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s="2" t="inlineStr"/>
    </row>
    <row r="207" ht="15" customHeight="1">
      <c r="A207" t="inlineStr">
        <is>
          <t>A 49041-2022</t>
        </is>
      </c>
      <c r="B207" t="inlineStr">
        <is>
          <t>avverkningsanmälan</t>
        </is>
      </c>
      <c r="C207" t="inlineStr">
        <is>
          <t>Föryngringsavverkning</t>
        </is>
      </c>
      <c r="D207" s="1" t="n">
        <v>44858</v>
      </c>
      <c r="E207" s="1" t="n">
        <v>46316</v>
      </c>
      <c r="F207" t="inlineStr">
        <is>
          <t>VÄSTRA GÖTALANDS LÄN</t>
        </is>
      </c>
      <c r="G207" t="inlineStr">
        <is>
          <t>VARA</t>
        </is>
      </c>
      <c r="I207" t="n">
        <v>5.3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s="2" t="inlineStr"/>
    </row>
    <row r="208" ht="15" customHeight="1">
      <c r="A208" t="inlineStr">
        <is>
          <t>A 37917-2023</t>
        </is>
      </c>
      <c r="B208" t="inlineStr">
        <is>
          <t>avverkningsanmälan</t>
        </is>
      </c>
      <c r="C208" t="inlineStr">
        <is>
          <t>Föryngringsavverkning</t>
        </is>
      </c>
      <c r="D208" s="1" t="n">
        <v>45160</v>
      </c>
      <c r="E208" s="1" t="n">
        <v>46316</v>
      </c>
      <c r="F208" t="inlineStr">
        <is>
          <t>VÄSTRA GÖTALANDS LÄN</t>
        </is>
      </c>
      <c r="G208" t="inlineStr">
        <is>
          <t>VARA</t>
        </is>
      </c>
      <c r="I208" t="n">
        <v>5.3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s="2" t="inlineStr"/>
    </row>
    <row r="209" ht="15" customHeight="1">
      <c r="A209" t="inlineStr">
        <is>
          <t>A 20433-2024</t>
        </is>
      </c>
      <c r="B209" t="inlineStr">
        <is>
          <t>avverkningsanmälan</t>
        </is>
      </c>
      <c r="C209" t="inlineStr">
        <is>
          <t>Föryngringsavverkning</t>
        </is>
      </c>
      <c r="D209" s="1" t="n">
        <v>45435</v>
      </c>
      <c r="E209" s="1" t="n">
        <v>46316</v>
      </c>
      <c r="F209" t="inlineStr">
        <is>
          <t>VÄSTRA GÖTALANDS LÄN</t>
        </is>
      </c>
      <c r="G209" t="inlineStr">
        <is>
          <t>VARA</t>
        </is>
      </c>
      <c r="I209" t="n">
        <v>0.5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s="2" t="inlineStr"/>
    </row>
    <row r="210" ht="15" customHeight="1">
      <c r="A210" t="inlineStr">
        <is>
          <t>A 20439-2024</t>
        </is>
      </c>
      <c r="B210" t="inlineStr">
        <is>
          <t>avverkningsanmälan</t>
        </is>
      </c>
      <c r="C210" t="inlineStr">
        <is>
          <t>Avverkning för annat ändamål</t>
        </is>
      </c>
      <c r="D210" s="1" t="n">
        <v>45435</v>
      </c>
      <c r="E210" s="1" t="n">
        <v>46316</v>
      </c>
      <c r="F210" t="inlineStr">
        <is>
          <t>VÄSTRA GÖTALANDS LÄN</t>
        </is>
      </c>
      <c r="G210" t="inlineStr">
        <is>
          <t>VARA</t>
        </is>
      </c>
      <c r="I210" t="n">
        <v>0.2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s="2" t="inlineStr"/>
    </row>
    <row r="211" ht="15" customHeight="1">
      <c r="A211" t="inlineStr">
        <is>
          <t>A 6453-2024</t>
        </is>
      </c>
      <c r="B211" t="inlineStr">
        <is>
          <t>avverkningsanmälan</t>
        </is>
      </c>
      <c r="C211" t="inlineStr">
        <is>
          <t>Föryngringsavverkning</t>
        </is>
      </c>
      <c r="D211" s="1" t="n">
        <v>45338</v>
      </c>
      <c r="E211" s="1" t="n">
        <v>46316</v>
      </c>
      <c r="F211" t="inlineStr">
        <is>
          <t>VÄSTRA GÖTALANDS LÄN</t>
        </is>
      </c>
      <c r="G211" t="inlineStr">
        <is>
          <t>VARA</t>
        </is>
      </c>
      <c r="H211" t="inlineStr">
        <is>
          <t>Kyrkan</t>
        </is>
      </c>
      <c r="I211" t="n">
        <v>3.7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s="2" t="inlineStr"/>
    </row>
    <row r="212" ht="15" customHeight="1">
      <c r="A212" t="inlineStr">
        <is>
          <t>A 3522-2024</t>
        </is>
      </c>
      <c r="B212" t="inlineStr">
        <is>
          <t>avverkningsanmälan</t>
        </is>
      </c>
      <c r="C212" t="inlineStr">
        <is>
          <t>Föryngringsavverkning</t>
        </is>
      </c>
      <c r="D212" s="1" t="n">
        <v>45320</v>
      </c>
      <c r="E212" s="1" t="n">
        <v>46316</v>
      </c>
      <c r="F212" t="inlineStr">
        <is>
          <t>VÄSTRA GÖTALANDS LÄN</t>
        </is>
      </c>
      <c r="G212" t="inlineStr">
        <is>
          <t>VARA</t>
        </is>
      </c>
      <c r="I212" t="n">
        <v>1.8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s="2" t="inlineStr"/>
    </row>
    <row r="213" ht="15" customHeight="1">
      <c r="A213" t="inlineStr">
        <is>
          <t>A 50909-2023</t>
        </is>
      </c>
      <c r="B213" t="inlineStr">
        <is>
          <t>avverkningsanmälan</t>
        </is>
      </c>
      <c r="C213" t="inlineStr">
        <is>
          <t>Föryngringsavverkning</t>
        </is>
      </c>
      <c r="D213" s="1" t="n">
        <v>45218</v>
      </c>
      <c r="E213" s="1" t="n">
        <v>46316</v>
      </c>
      <c r="F213" t="inlineStr">
        <is>
          <t>VÄSTRA GÖTALANDS LÄN</t>
        </is>
      </c>
      <c r="G213" t="inlineStr">
        <is>
          <t>VARA</t>
        </is>
      </c>
      <c r="I213" t="n">
        <v>2.4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s="2" t="inlineStr"/>
    </row>
    <row r="214" ht="15" customHeight="1">
      <c r="A214" t="inlineStr">
        <is>
          <t>A 7238-2024</t>
        </is>
      </c>
      <c r="B214" t="inlineStr">
        <is>
          <t>avverkningsanmälan</t>
        </is>
      </c>
      <c r="C214" t="inlineStr">
        <is>
          <t>Föryngringsavverkning</t>
        </is>
      </c>
      <c r="D214" s="1" t="n">
        <v>45344</v>
      </c>
      <c r="E214" s="1" t="n">
        <v>46316</v>
      </c>
      <c r="F214" t="inlineStr">
        <is>
          <t>VÄSTRA GÖTALANDS LÄN</t>
        </is>
      </c>
      <c r="G214" t="inlineStr">
        <is>
          <t>VARA</t>
        </is>
      </c>
      <c r="I214" t="n">
        <v>2.2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s="2" t="inlineStr"/>
    </row>
    <row r="215" ht="15" customHeight="1">
      <c r="A215" t="inlineStr">
        <is>
          <t>A 6517-2022</t>
        </is>
      </c>
      <c r="B215" t="inlineStr">
        <is>
          <t>avverkningsanmälan</t>
        </is>
      </c>
      <c r="C215" t="inlineStr">
        <is>
          <t>Föryngringsavverkning</t>
        </is>
      </c>
      <c r="D215" s="1" t="n">
        <v>44601</v>
      </c>
      <c r="E215" s="1" t="n">
        <v>46316</v>
      </c>
      <c r="F215" t="inlineStr">
        <is>
          <t>VÄSTRA GÖTALANDS LÄN</t>
        </is>
      </c>
      <c r="G215" t="inlineStr">
        <is>
          <t>VARA</t>
        </is>
      </c>
      <c r="I215" t="n">
        <v>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s="2" t="inlineStr"/>
    </row>
    <row r="216" ht="15" customHeight="1">
      <c r="A216" t="inlineStr">
        <is>
          <t>A 59272-2023</t>
        </is>
      </c>
      <c r="B216" t="inlineStr">
        <is>
          <t>avverkningsanmälan</t>
        </is>
      </c>
      <c r="C216" t="inlineStr">
        <is>
          <t>Föryngringsavverkning</t>
        </is>
      </c>
      <c r="D216" s="1" t="n">
        <v>45253</v>
      </c>
      <c r="E216" s="1" t="n">
        <v>46316</v>
      </c>
      <c r="F216" t="inlineStr">
        <is>
          <t>VÄSTRA GÖTALANDS LÄN</t>
        </is>
      </c>
      <c r="G216" t="inlineStr">
        <is>
          <t>VARA</t>
        </is>
      </c>
      <c r="I216" t="n">
        <v>0.9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s="2" t="inlineStr"/>
    </row>
    <row r="217" ht="15" customHeight="1">
      <c r="A217" t="inlineStr">
        <is>
          <t>A 43620-2024</t>
        </is>
      </c>
      <c r="B217" t="inlineStr">
        <is>
          <t>avverkningsanmälan</t>
        </is>
      </c>
      <c r="C217" t="inlineStr">
        <is>
          <t>Föryngringsavverkning</t>
        </is>
      </c>
      <c r="D217" s="1" t="n">
        <v>45569</v>
      </c>
      <c r="E217" s="1" t="n">
        <v>46316</v>
      </c>
      <c r="F217" t="inlineStr">
        <is>
          <t>VÄSTRA GÖTALANDS LÄN</t>
        </is>
      </c>
      <c r="G217" t="inlineStr">
        <is>
          <t>VARA</t>
        </is>
      </c>
      <c r="H217" t="inlineStr">
        <is>
          <t>Kyrkan</t>
        </is>
      </c>
      <c r="I217" t="n">
        <v>1.3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s="2" t="inlineStr"/>
    </row>
    <row r="218" ht="15" customHeight="1">
      <c r="A218" t="inlineStr">
        <is>
          <t>A 35608-2023</t>
        </is>
      </c>
      <c r="B218" t="inlineStr">
        <is>
          <t>avverkningsanmälan</t>
        </is>
      </c>
      <c r="C218" t="inlineStr">
        <is>
          <t>Avverkning för annat ändamål</t>
        </is>
      </c>
      <c r="D218" s="1" t="n">
        <v>45146</v>
      </c>
      <c r="E218" s="1" t="n">
        <v>46316</v>
      </c>
      <c r="F218" t="inlineStr">
        <is>
          <t>VÄSTRA GÖTALANDS LÄN</t>
        </is>
      </c>
      <c r="G218" t="inlineStr">
        <is>
          <t>VARA</t>
        </is>
      </c>
      <c r="I218" t="n">
        <v>0.7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s="2" t="inlineStr"/>
    </row>
    <row r="219" ht="15" customHeight="1">
      <c r="A219" t="inlineStr">
        <is>
          <t>A 12007-2025</t>
        </is>
      </c>
      <c r="B219" t="inlineStr">
        <is>
          <t>avverkningsanmälan</t>
        </is>
      </c>
      <c r="C219" t="inlineStr">
        <is>
          <t>Föryngringsavverkning</t>
        </is>
      </c>
      <c r="D219" s="1" t="n">
        <v>45728</v>
      </c>
      <c r="E219" s="1" t="n">
        <v>46316</v>
      </c>
      <c r="F219" t="inlineStr">
        <is>
          <t>VÄSTRA GÖTALANDS LÄN</t>
        </is>
      </c>
      <c r="G219" t="inlineStr">
        <is>
          <t>VARA</t>
        </is>
      </c>
      <c r="I219" t="n">
        <v>3.7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s="2" t="inlineStr"/>
    </row>
    <row r="220" ht="15" customHeight="1">
      <c r="A220" t="inlineStr">
        <is>
          <t>A 12938-2022</t>
        </is>
      </c>
      <c r="B220" t="inlineStr">
        <is>
          <t>avverkningsanmälan</t>
        </is>
      </c>
      <c r="C220" t="inlineStr">
        <is>
          <t>Föryngringsavverkning</t>
        </is>
      </c>
      <c r="D220" s="1" t="n">
        <v>44642</v>
      </c>
      <c r="E220" s="1" t="n">
        <v>46316</v>
      </c>
      <c r="F220" t="inlineStr">
        <is>
          <t>VÄSTRA GÖTALANDS LÄN</t>
        </is>
      </c>
      <c r="G220" t="inlineStr">
        <is>
          <t>VARA</t>
        </is>
      </c>
      <c r="I220" t="n">
        <v>2.7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s="2" t="inlineStr"/>
    </row>
    <row r="221" ht="15" customHeight="1">
      <c r="A221" t="inlineStr">
        <is>
          <t>A 9108-2022</t>
        </is>
      </c>
      <c r="B221" t="inlineStr">
        <is>
          <t>avverkningsanmälan</t>
        </is>
      </c>
      <c r="C221" t="inlineStr">
        <is>
          <t>Föryngringsavverkning</t>
        </is>
      </c>
      <c r="D221" s="1" t="n">
        <v>44615</v>
      </c>
      <c r="E221" s="1" t="n">
        <v>46316</v>
      </c>
      <c r="F221" t="inlineStr">
        <is>
          <t>VÄSTRA GÖTALANDS LÄN</t>
        </is>
      </c>
      <c r="G221" t="inlineStr">
        <is>
          <t>VARA</t>
        </is>
      </c>
      <c r="I221" t="n">
        <v>2.5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s="2" t="inlineStr"/>
    </row>
    <row r="222" ht="15" customHeight="1">
      <c r="A222" t="inlineStr">
        <is>
          <t>A 23065-2024</t>
        </is>
      </c>
      <c r="B222" t="inlineStr">
        <is>
          <t>avverkningsanmälan</t>
        </is>
      </c>
      <c r="C222" t="inlineStr">
        <is>
          <t>Föryngringsavverkning</t>
        </is>
      </c>
      <c r="D222" s="1" t="n">
        <v>45450</v>
      </c>
      <c r="E222" s="1" t="n">
        <v>46316</v>
      </c>
      <c r="F222" t="inlineStr">
        <is>
          <t>VÄSTRA GÖTALANDS LÄN</t>
        </is>
      </c>
      <c r="G222" t="inlineStr">
        <is>
          <t>VARA</t>
        </is>
      </c>
      <c r="I222" t="n">
        <v>5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s="2" t="inlineStr"/>
    </row>
    <row r="223" ht="15" customHeight="1">
      <c r="A223" t="inlineStr">
        <is>
          <t>A 40908-2026</t>
        </is>
      </c>
      <c r="B223" t="inlineStr">
        <is>
          <t>avverkningsanmälan</t>
        </is>
      </c>
      <c r="C223" t="inlineStr">
        <is>
          <t>Föryngringsavverkning</t>
        </is>
      </c>
      <c r="D223" s="1" t="n">
        <v>46297</v>
      </c>
      <c r="E223" s="1" t="n">
        <v>46316</v>
      </c>
      <c r="F223" t="inlineStr">
        <is>
          <t>VÄSTRA GÖTALANDS LÄN</t>
        </is>
      </c>
      <c r="G223" t="inlineStr">
        <is>
          <t>VARA</t>
        </is>
      </c>
      <c r="I223" t="n">
        <v>2.1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s="2" t="inlineStr"/>
    </row>
    <row r="224" ht="15" customHeight="1">
      <c r="A224" t="inlineStr">
        <is>
          <t>A 59266-2023</t>
        </is>
      </c>
      <c r="B224" t="inlineStr">
        <is>
          <t>avverkningsanmälan</t>
        </is>
      </c>
      <c r="C224" t="inlineStr">
        <is>
          <t>Föryngringsavverkning</t>
        </is>
      </c>
      <c r="D224" s="1" t="n">
        <v>45253</v>
      </c>
      <c r="E224" s="1" t="n">
        <v>46316</v>
      </c>
      <c r="F224" t="inlineStr">
        <is>
          <t>VÄSTRA GÖTALANDS LÄN</t>
        </is>
      </c>
      <c r="G224" t="inlineStr">
        <is>
          <t>VARA</t>
        </is>
      </c>
      <c r="I224" t="n">
        <v>1.1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s="2" t="inlineStr"/>
    </row>
    <row r="225" ht="15" customHeight="1">
      <c r="A225" t="inlineStr">
        <is>
          <t>A 1980-2024</t>
        </is>
      </c>
      <c r="B225" t="inlineStr">
        <is>
          <t>avverkningsanmälan</t>
        </is>
      </c>
      <c r="C225" t="inlineStr">
        <is>
          <t>Föryngringsavverkning</t>
        </is>
      </c>
      <c r="D225" s="1" t="n">
        <v>45308</v>
      </c>
      <c r="E225" s="1" t="n">
        <v>46316</v>
      </c>
      <c r="F225" t="inlineStr">
        <is>
          <t>VÄSTRA GÖTALANDS LÄN</t>
        </is>
      </c>
      <c r="G225" t="inlineStr">
        <is>
          <t>VARA</t>
        </is>
      </c>
      <c r="I225" t="n">
        <v>2.9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s="2" t="inlineStr"/>
    </row>
    <row r="226" ht="15" customHeight="1">
      <c r="A226" t="inlineStr">
        <is>
          <t>A 56456-2022</t>
        </is>
      </c>
      <c r="B226" t="inlineStr">
        <is>
          <t>avverkningsanmälan</t>
        </is>
      </c>
      <c r="C226" t="inlineStr">
        <is>
          <t>Föryngringsavverkning</t>
        </is>
      </c>
      <c r="D226" s="1" t="n">
        <v>44893</v>
      </c>
      <c r="E226" s="1" t="n">
        <v>46316</v>
      </c>
      <c r="F226" t="inlineStr">
        <is>
          <t>VÄSTRA GÖTALANDS LÄN</t>
        </is>
      </c>
      <c r="G226" t="inlineStr">
        <is>
          <t>VARA</t>
        </is>
      </c>
      <c r="I226" t="n">
        <v>1.5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s="2" t="inlineStr"/>
    </row>
    <row r="227" ht="15" customHeight="1">
      <c r="A227" t="inlineStr">
        <is>
          <t>A 12333-2022</t>
        </is>
      </c>
      <c r="B227" t="inlineStr">
        <is>
          <t>avverkningsanmälan</t>
        </is>
      </c>
      <c r="C227" t="inlineStr">
        <is>
          <t>Föryngringsavverkning</t>
        </is>
      </c>
      <c r="D227" s="1" t="n">
        <v>44637</v>
      </c>
      <c r="E227" s="1" t="n">
        <v>46316</v>
      </c>
      <c r="F227" t="inlineStr">
        <is>
          <t>VÄSTRA GÖTALANDS LÄN</t>
        </is>
      </c>
      <c r="G227" t="inlineStr">
        <is>
          <t>VARA</t>
        </is>
      </c>
      <c r="I227" t="n">
        <v>3.4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s="2" t="inlineStr"/>
    </row>
    <row r="228" ht="15" customHeight="1">
      <c r="A228" t="inlineStr">
        <is>
          <t>A 71326-2021</t>
        </is>
      </c>
      <c r="B228" t="inlineStr">
        <is>
          <t>avverkningsanmälan</t>
        </is>
      </c>
      <c r="C228" t="inlineStr">
        <is>
          <t>Föryngringsavverkning</t>
        </is>
      </c>
      <c r="D228" s="1" t="n">
        <v>44539</v>
      </c>
      <c r="E228" s="1" t="n">
        <v>46316</v>
      </c>
      <c r="F228" t="inlineStr">
        <is>
          <t>VÄSTRA GÖTALANDS LÄN</t>
        </is>
      </c>
      <c r="G228" t="inlineStr">
        <is>
          <t>VARA</t>
        </is>
      </c>
      <c r="I228" t="n">
        <v>4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s="2" t="inlineStr"/>
    </row>
    <row r="229" ht="15" customHeight="1">
      <c r="A229" t="inlineStr">
        <is>
          <t>A 63842-2025</t>
        </is>
      </c>
      <c r="B229" t="inlineStr">
        <is>
          <t>avverkningsanmälan</t>
        </is>
      </c>
      <c r="C229" t="inlineStr">
        <is>
          <t>Föryngringsavverkning</t>
        </is>
      </c>
      <c r="D229" s="1" t="n">
        <v>46020</v>
      </c>
      <c r="E229" s="1" t="n">
        <v>46316</v>
      </c>
      <c r="F229" t="inlineStr">
        <is>
          <t>VÄSTRA GÖTALANDS LÄN</t>
        </is>
      </c>
      <c r="G229" t="inlineStr">
        <is>
          <t>VARA</t>
        </is>
      </c>
      <c r="I229" t="n">
        <v>2.6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s="2" t="inlineStr"/>
    </row>
    <row r="230" ht="15" customHeight="1">
      <c r="A230" t="inlineStr">
        <is>
          <t>A 33299-2023</t>
        </is>
      </c>
      <c r="B230" t="inlineStr">
        <is>
          <t>avverkningsanmälan</t>
        </is>
      </c>
      <c r="C230" t="inlineStr">
        <is>
          <t>Föryngringsavverkning</t>
        </is>
      </c>
      <c r="D230" s="1" t="n">
        <v>45116</v>
      </c>
      <c r="E230" s="1" t="n">
        <v>46316</v>
      </c>
      <c r="F230" t="inlineStr">
        <is>
          <t>VÄSTRA GÖTALANDS LÄN</t>
        </is>
      </c>
      <c r="G230" t="inlineStr">
        <is>
          <t>VARA</t>
        </is>
      </c>
      <c r="I230" t="n">
        <v>2.7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s="2" t="inlineStr"/>
    </row>
    <row r="231" ht="15" customHeight="1">
      <c r="A231" t="inlineStr">
        <is>
          <t>A 41691-2026</t>
        </is>
      </c>
      <c r="B231" t="inlineStr">
        <is>
          <t>avverkningsanmälan</t>
        </is>
      </c>
      <c r="C231" t="inlineStr">
        <is>
          <t>Föryngringsavverkning</t>
        </is>
      </c>
      <c r="D231" s="1" t="n">
        <v>46302</v>
      </c>
      <c r="E231" s="1" t="n">
        <v>46316</v>
      </c>
      <c r="F231" t="inlineStr">
        <is>
          <t>VÄSTRA GÖTALANDS LÄN</t>
        </is>
      </c>
      <c r="G231" t="inlineStr">
        <is>
          <t>VARA</t>
        </is>
      </c>
      <c r="I231" t="n">
        <v>3.1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s="2" t="inlineStr"/>
    </row>
    <row r="232" ht="15" customHeight="1">
      <c r="A232" t="inlineStr">
        <is>
          <t>A 38160-2022</t>
        </is>
      </c>
      <c r="B232" t="inlineStr">
        <is>
          <t>avverkningsanmälan</t>
        </is>
      </c>
      <c r="C232" t="inlineStr">
        <is>
          <t>Föryngringsavverkning</t>
        </is>
      </c>
      <c r="D232" s="1" t="n">
        <v>44812</v>
      </c>
      <c r="E232" s="1" t="n">
        <v>46316</v>
      </c>
      <c r="F232" t="inlineStr">
        <is>
          <t>VÄSTRA GÖTALANDS LÄN</t>
        </is>
      </c>
      <c r="G232" t="inlineStr">
        <is>
          <t>VARA</t>
        </is>
      </c>
      <c r="I232" t="n">
        <v>7.2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s="2" t="inlineStr"/>
    </row>
    <row r="233" ht="15" customHeight="1">
      <c r="A233" t="inlineStr">
        <is>
          <t>A 38920-2022</t>
        </is>
      </c>
      <c r="B233" t="inlineStr">
        <is>
          <t>avverkningsanmälan</t>
        </is>
      </c>
      <c r="C233" t="inlineStr">
        <is>
          <t>Föryngringsavverkning</t>
        </is>
      </c>
      <c r="D233" s="1" t="n">
        <v>44816</v>
      </c>
      <c r="E233" s="1" t="n">
        <v>46316</v>
      </c>
      <c r="F233" t="inlineStr">
        <is>
          <t>VÄSTRA GÖTALANDS LÄN</t>
        </is>
      </c>
      <c r="G233" t="inlineStr">
        <is>
          <t>VARA</t>
        </is>
      </c>
      <c r="I233" t="n">
        <v>1.3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s="2" t="inlineStr"/>
    </row>
    <row r="234" ht="15" customHeight="1">
      <c r="A234" t="inlineStr">
        <is>
          <t>A 55296-2023</t>
        </is>
      </c>
      <c r="B234" t="inlineStr">
        <is>
          <t>avverkningsanmälan</t>
        </is>
      </c>
      <c r="C234" t="inlineStr">
        <is>
          <t>Föryngringsavverkning</t>
        </is>
      </c>
      <c r="D234" s="1" t="n">
        <v>45237</v>
      </c>
      <c r="E234" s="1" t="n">
        <v>46316</v>
      </c>
      <c r="F234" t="inlineStr">
        <is>
          <t>VÄSTRA GÖTALANDS LÄN</t>
        </is>
      </c>
      <c r="G234" t="inlineStr">
        <is>
          <t>VARA</t>
        </is>
      </c>
      <c r="I234" t="n">
        <v>0.6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s="2" t="inlineStr"/>
    </row>
    <row r="235" ht="15" customHeight="1">
      <c r="A235" t="inlineStr">
        <is>
          <t>A 52778-2022</t>
        </is>
      </c>
      <c r="B235" t="inlineStr">
        <is>
          <t>avverkningsanmälan</t>
        </is>
      </c>
      <c r="C235" t="inlineStr">
        <is>
          <t>Föryngringsavverkning</t>
        </is>
      </c>
      <c r="D235" s="1" t="n">
        <v>44875</v>
      </c>
      <c r="E235" s="1" t="n">
        <v>46316</v>
      </c>
      <c r="F235" t="inlineStr">
        <is>
          <t>VÄSTRA GÖTALANDS LÄN</t>
        </is>
      </c>
      <c r="G235" t="inlineStr">
        <is>
          <t>VARA</t>
        </is>
      </c>
      <c r="I235" t="n">
        <v>8.4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s="2" t="inlineStr"/>
    </row>
    <row r="236" ht="15" customHeight="1">
      <c r="A236" t="inlineStr">
        <is>
          <t>A 59946-2022</t>
        </is>
      </c>
      <c r="B236" t="inlineStr">
        <is>
          <t>avverkningsanmälan</t>
        </is>
      </c>
      <c r="C236" t="inlineStr">
        <is>
          <t>Föryngringsavverkning</t>
        </is>
      </c>
      <c r="D236" s="1" t="n">
        <v>44909</v>
      </c>
      <c r="E236" s="1" t="n">
        <v>46316</v>
      </c>
      <c r="F236" t="inlineStr">
        <is>
          <t>VÄSTRA GÖTALANDS LÄN</t>
        </is>
      </c>
      <c r="G236" t="inlineStr">
        <is>
          <t>VARA</t>
        </is>
      </c>
      <c r="I236" t="n">
        <v>2.2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s="2" t="inlineStr"/>
    </row>
    <row r="237" ht="15" customHeight="1">
      <c r="A237" t="inlineStr">
        <is>
          <t>A 6977-2025</t>
        </is>
      </c>
      <c r="B237" t="inlineStr">
        <is>
          <t>avverkningsanmälan</t>
        </is>
      </c>
      <c r="C237" t="inlineStr">
        <is>
          <t>Föryngringsavverkning</t>
        </is>
      </c>
      <c r="D237" s="1" t="n">
        <v>45701</v>
      </c>
      <c r="E237" s="1" t="n">
        <v>46316</v>
      </c>
      <c r="F237" t="inlineStr">
        <is>
          <t>VÄSTRA GÖTALANDS LÄN</t>
        </is>
      </c>
      <c r="G237" t="inlineStr">
        <is>
          <t>VARA</t>
        </is>
      </c>
      <c r="I237" t="n">
        <v>0.5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s="2" t="inlineStr"/>
    </row>
    <row r="238" ht="15" customHeight="1">
      <c r="A238" t="inlineStr">
        <is>
          <t>A 59782-2022</t>
        </is>
      </c>
      <c r="B238" t="inlineStr">
        <is>
          <t>avverkningsanmälan</t>
        </is>
      </c>
      <c r="C238" t="inlineStr">
        <is>
          <t>Föryngringsavverkning</t>
        </is>
      </c>
      <c r="D238" s="1" t="n">
        <v>44900</v>
      </c>
      <c r="E238" s="1" t="n">
        <v>46316</v>
      </c>
      <c r="F238" t="inlineStr">
        <is>
          <t>VÄSTRA GÖTALANDS LÄN</t>
        </is>
      </c>
      <c r="G238" t="inlineStr">
        <is>
          <t>VARA</t>
        </is>
      </c>
      <c r="I238" t="n">
        <v>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s="2" t="inlineStr"/>
    </row>
    <row r="239" ht="15" customHeight="1">
      <c r="A239" t="inlineStr">
        <is>
          <t>A 52918-2023</t>
        </is>
      </c>
      <c r="B239" t="inlineStr">
        <is>
          <t>avverkningsanmälan</t>
        </is>
      </c>
      <c r="C239" t="inlineStr">
        <is>
          <t>Föryngringsavverkning</t>
        </is>
      </c>
      <c r="D239" s="1" t="n">
        <v>45226</v>
      </c>
      <c r="E239" s="1" t="n">
        <v>46316</v>
      </c>
      <c r="F239" t="inlineStr">
        <is>
          <t>VÄSTRA GÖTALANDS LÄN</t>
        </is>
      </c>
      <c r="G239" t="inlineStr">
        <is>
          <t>VARA</t>
        </is>
      </c>
      <c r="I239" t="n">
        <v>0.5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s="2" t="inlineStr"/>
    </row>
    <row r="240" ht="15" customHeight="1">
      <c r="A240" t="inlineStr">
        <is>
          <t>A 35817-2026</t>
        </is>
      </c>
      <c r="B240" t="inlineStr">
        <is>
          <t>avverkningsanmälan</t>
        </is>
      </c>
      <c r="C240" t="inlineStr">
        <is>
          <t>Föryngringsavverkning</t>
        </is>
      </c>
      <c r="D240" s="1" t="n">
        <v>46265</v>
      </c>
      <c r="E240" s="1" t="n">
        <v>46316</v>
      </c>
      <c r="F240" t="inlineStr">
        <is>
          <t>VÄSTRA GÖTALANDS LÄN</t>
        </is>
      </c>
      <c r="G240" t="inlineStr">
        <is>
          <t>VARA</t>
        </is>
      </c>
      <c r="I240" t="n">
        <v>1.6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s="2" t="inlineStr"/>
    </row>
    <row r="241" ht="15" customHeight="1">
      <c r="A241" t="inlineStr">
        <is>
          <t>A 13194-2022</t>
        </is>
      </c>
      <c r="B241" t="inlineStr">
        <is>
          <t>avverkningsanmälan</t>
        </is>
      </c>
      <c r="C241" t="inlineStr">
        <is>
          <t>Avverkning för annat ändamål</t>
        </is>
      </c>
      <c r="D241" s="1" t="n">
        <v>44644</v>
      </c>
      <c r="E241" s="1" t="n">
        <v>46316</v>
      </c>
      <c r="F241" t="inlineStr">
        <is>
          <t>VÄSTRA GÖTALANDS LÄN</t>
        </is>
      </c>
      <c r="G241" t="inlineStr">
        <is>
          <t>VARA</t>
        </is>
      </c>
      <c r="I241" t="n">
        <v>1.5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s="2" t="inlineStr"/>
    </row>
    <row r="242" ht="15" customHeight="1">
      <c r="A242" t="inlineStr">
        <is>
          <t>A 61737-2023</t>
        </is>
      </c>
      <c r="B242" t="inlineStr">
        <is>
          <t>avverkningsanmälan</t>
        </is>
      </c>
      <c r="C242" t="inlineStr">
        <is>
          <t>Föryngringsavverkning</t>
        </is>
      </c>
      <c r="D242" s="1" t="n">
        <v>45265</v>
      </c>
      <c r="E242" s="1" t="n">
        <v>46316</v>
      </c>
      <c r="F242" t="inlineStr">
        <is>
          <t>VÄSTRA GÖTALANDS LÄN</t>
        </is>
      </c>
      <c r="G242" t="inlineStr">
        <is>
          <t>VARA</t>
        </is>
      </c>
      <c r="I242" t="n">
        <v>2.6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s="2" t="inlineStr"/>
    </row>
    <row r="243" ht="15" customHeight="1">
      <c r="A243" t="inlineStr">
        <is>
          <t>A 42427-2023</t>
        </is>
      </c>
      <c r="B243" t="inlineStr">
        <is>
          <t>avverkningsanmälan</t>
        </is>
      </c>
      <c r="C243" t="inlineStr">
        <is>
          <t>Föryngringsavverkning</t>
        </is>
      </c>
      <c r="D243" s="1" t="n">
        <v>45180</v>
      </c>
      <c r="E243" s="1" t="n">
        <v>46316</v>
      </c>
      <c r="F243" t="inlineStr">
        <is>
          <t>VÄSTRA GÖTALANDS LÄN</t>
        </is>
      </c>
      <c r="G243" t="inlineStr">
        <is>
          <t>VARA</t>
        </is>
      </c>
      <c r="I243" t="n">
        <v>1.2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s="2" t="inlineStr"/>
    </row>
    <row r="244" ht="15" customHeight="1">
      <c r="A244" t="inlineStr">
        <is>
          <t>A 61269-2024</t>
        </is>
      </c>
      <c r="B244" t="inlineStr">
        <is>
          <t>avverkningsanmälan</t>
        </is>
      </c>
      <c r="C244" t="inlineStr">
        <is>
          <t>Föryngringsavverkning</t>
        </is>
      </c>
      <c r="D244" s="1" t="n">
        <v>45645</v>
      </c>
      <c r="E244" s="1" t="n">
        <v>46316</v>
      </c>
      <c r="F244" t="inlineStr">
        <is>
          <t>VÄSTRA GÖTALANDS LÄN</t>
        </is>
      </c>
      <c r="G244" t="inlineStr">
        <is>
          <t>VARA</t>
        </is>
      </c>
      <c r="I244" t="n">
        <v>3.3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s="2" t="inlineStr"/>
    </row>
    <row r="245" ht="15" customHeight="1">
      <c r="A245" t="inlineStr">
        <is>
          <t>A 9218-2024</t>
        </is>
      </c>
      <c r="B245" t="inlineStr">
        <is>
          <t>avverkningsanmälan</t>
        </is>
      </c>
      <c r="C245" t="inlineStr">
        <is>
          <t>Föryngringsavverkning</t>
        </is>
      </c>
      <c r="D245" s="1" t="n">
        <v>45358</v>
      </c>
      <c r="E245" s="1" t="n">
        <v>46316</v>
      </c>
      <c r="F245" t="inlineStr">
        <is>
          <t>VÄSTRA GÖTALANDS LÄN</t>
        </is>
      </c>
      <c r="G245" t="inlineStr">
        <is>
          <t>VARA</t>
        </is>
      </c>
      <c r="I245" t="n">
        <v>1.3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s="2" t="inlineStr"/>
    </row>
    <row r="246" ht="15" customHeight="1">
      <c r="A246" t="inlineStr">
        <is>
          <t>A 60819-2023</t>
        </is>
      </c>
      <c r="B246" t="inlineStr">
        <is>
          <t>avverkningsanmälan</t>
        </is>
      </c>
      <c r="C246" t="inlineStr">
        <is>
          <t>Föryngringsavverkning</t>
        </is>
      </c>
      <c r="D246" s="1" t="n">
        <v>45260</v>
      </c>
      <c r="E246" s="1" t="n">
        <v>46316</v>
      </c>
      <c r="F246" t="inlineStr">
        <is>
          <t>VÄSTRA GÖTALANDS LÄN</t>
        </is>
      </c>
      <c r="G246" t="inlineStr">
        <is>
          <t>VARA</t>
        </is>
      </c>
      <c r="I246" t="n">
        <v>3.1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s="2" t="inlineStr"/>
    </row>
    <row r="247" ht="15" customHeight="1">
      <c r="A247" t="inlineStr">
        <is>
          <t>A 9380-2025</t>
        </is>
      </c>
      <c r="B247" t="inlineStr">
        <is>
          <t>avverkningsanmälan</t>
        </is>
      </c>
      <c r="C247" t="inlineStr">
        <is>
          <t>Föryngringsavverkning</t>
        </is>
      </c>
      <c r="D247" s="1" t="n">
        <v>45715</v>
      </c>
      <c r="E247" s="1" t="n">
        <v>46316</v>
      </c>
      <c r="F247" t="inlineStr">
        <is>
          <t>VÄSTRA GÖTALANDS LÄN</t>
        </is>
      </c>
      <c r="G247" t="inlineStr">
        <is>
          <t>VARA</t>
        </is>
      </c>
      <c r="H247" t="inlineStr">
        <is>
          <t>Kyrkan</t>
        </is>
      </c>
      <c r="I247" t="n">
        <v>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s="2" t="inlineStr"/>
    </row>
    <row r="248" ht="15" customHeight="1">
      <c r="A248" t="inlineStr">
        <is>
          <t>A 18691-2023</t>
        </is>
      </c>
      <c r="B248" t="inlineStr">
        <is>
          <t>avverkningsanmälan</t>
        </is>
      </c>
      <c r="C248" t="inlineStr">
        <is>
          <t>Föryngringsavverkning</t>
        </is>
      </c>
      <c r="D248" s="1" t="n">
        <v>45043</v>
      </c>
      <c r="E248" s="1" t="n">
        <v>46316</v>
      </c>
      <c r="F248" t="inlineStr">
        <is>
          <t>VÄSTRA GÖTALANDS LÄN</t>
        </is>
      </c>
      <c r="G248" t="inlineStr">
        <is>
          <t>VARA</t>
        </is>
      </c>
      <c r="I248" t="n">
        <v>0.8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s="2" t="inlineStr"/>
    </row>
    <row r="249" ht="15" customHeight="1">
      <c r="A249" t="inlineStr">
        <is>
          <t>A 6336-2022</t>
        </is>
      </c>
      <c r="B249" t="inlineStr">
        <is>
          <t>avverkningsanmälan</t>
        </is>
      </c>
      <c r="C249" t="inlineStr">
        <is>
          <t>Föryngringsavverkning</t>
        </is>
      </c>
      <c r="D249" s="1" t="n">
        <v>44600</v>
      </c>
      <c r="E249" s="1" t="n">
        <v>46316</v>
      </c>
      <c r="F249" t="inlineStr">
        <is>
          <t>VÄSTRA GÖTALANDS LÄN</t>
        </is>
      </c>
      <c r="G249" t="inlineStr">
        <is>
          <t>VARA</t>
        </is>
      </c>
      <c r="I249" t="n">
        <v>2.1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s="2" t="inlineStr"/>
    </row>
    <row r="250" ht="15" customHeight="1">
      <c r="A250" t="inlineStr">
        <is>
          <t>A 10165-2025</t>
        </is>
      </c>
      <c r="B250" t="inlineStr">
        <is>
          <t>avverkningsanmälan</t>
        </is>
      </c>
      <c r="C250" t="inlineStr">
        <is>
          <t>Föryngringsavverkning</t>
        </is>
      </c>
      <c r="D250" s="1" t="n">
        <v>45719</v>
      </c>
      <c r="E250" s="1" t="n">
        <v>46316</v>
      </c>
      <c r="F250" t="inlineStr">
        <is>
          <t>VÄSTRA GÖTALANDS LÄN</t>
        </is>
      </c>
      <c r="G250" t="inlineStr">
        <is>
          <t>VARA</t>
        </is>
      </c>
      <c r="H250" t="inlineStr">
        <is>
          <t>Kyrkan</t>
        </is>
      </c>
      <c r="I250" t="n">
        <v>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s="2" t="inlineStr"/>
    </row>
    <row r="251" ht="15" customHeight="1">
      <c r="A251" t="inlineStr">
        <is>
          <t>A 55356-2024</t>
        </is>
      </c>
      <c r="B251" t="inlineStr">
        <is>
          <t>avverkningsanmälan</t>
        </is>
      </c>
      <c r="C251" t="inlineStr">
        <is>
          <t>Föryngringsavverkning</t>
        </is>
      </c>
      <c r="D251" s="1" t="n">
        <v>45621</v>
      </c>
      <c r="E251" s="1" t="n">
        <v>46316</v>
      </c>
      <c r="F251" t="inlineStr">
        <is>
          <t>VÄSTRA GÖTALANDS LÄN</t>
        </is>
      </c>
      <c r="G251" t="inlineStr">
        <is>
          <t>VARA</t>
        </is>
      </c>
      <c r="I251" t="n">
        <v>1.2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s="2" t="inlineStr"/>
    </row>
    <row r="252" ht="15" customHeight="1">
      <c r="A252" t="inlineStr">
        <is>
          <t>A 43624-2024</t>
        </is>
      </c>
      <c r="B252" t="inlineStr">
        <is>
          <t>avverkningsanmälan</t>
        </is>
      </c>
      <c r="C252" t="inlineStr">
        <is>
          <t>Föryngringsavverkning</t>
        </is>
      </c>
      <c r="D252" s="1" t="n">
        <v>45569</v>
      </c>
      <c r="E252" s="1" t="n">
        <v>46316</v>
      </c>
      <c r="F252" t="inlineStr">
        <is>
          <t>VÄSTRA GÖTALANDS LÄN</t>
        </is>
      </c>
      <c r="G252" t="inlineStr">
        <is>
          <t>VARA</t>
        </is>
      </c>
      <c r="H252" t="inlineStr">
        <is>
          <t>Kyrkan</t>
        </is>
      </c>
      <c r="I252" t="n">
        <v>2.3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s="2" t="inlineStr"/>
    </row>
    <row r="253" ht="15" customHeight="1">
      <c r="A253" t="inlineStr">
        <is>
          <t>A 13511-2024</t>
        </is>
      </c>
      <c r="B253" t="inlineStr">
        <is>
          <t>avverkningsanmälan</t>
        </is>
      </c>
      <c r="C253" t="inlineStr">
        <is>
          <t>Föryngringsavverkning</t>
        </is>
      </c>
      <c r="D253" s="1" t="n">
        <v>45387</v>
      </c>
      <c r="E253" s="1" t="n">
        <v>46316</v>
      </c>
      <c r="F253" t="inlineStr">
        <is>
          <t>VÄSTRA GÖTALANDS LÄN</t>
        </is>
      </c>
      <c r="G253" t="inlineStr">
        <is>
          <t>VARA</t>
        </is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s="2" t="inlineStr"/>
    </row>
    <row r="254" ht="15" customHeight="1">
      <c r="A254" t="inlineStr">
        <is>
          <t>A 20240-2023</t>
        </is>
      </c>
      <c r="B254" t="inlineStr">
        <is>
          <t>avverkningsanmälan</t>
        </is>
      </c>
      <c r="C254" t="inlineStr">
        <is>
          <t>Föryngringsavverkning</t>
        </is>
      </c>
      <c r="D254" s="1" t="n">
        <v>45055</v>
      </c>
      <c r="E254" s="1" t="n">
        <v>46316</v>
      </c>
      <c r="F254" t="inlineStr">
        <is>
          <t>VÄSTRA GÖTALANDS LÄN</t>
        </is>
      </c>
      <c r="G254" t="inlineStr">
        <is>
          <t>VARA</t>
        </is>
      </c>
      <c r="I254" t="n">
        <v>1.9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s="2" t="inlineStr"/>
    </row>
    <row r="255" ht="15" customHeight="1">
      <c r="A255" t="inlineStr">
        <is>
          <t>A 12016-2025</t>
        </is>
      </c>
      <c r="B255" t="inlineStr">
        <is>
          <t>avverkningsanmälan</t>
        </is>
      </c>
      <c r="C255" t="inlineStr">
        <is>
          <t>Föryngringsavverkning</t>
        </is>
      </c>
      <c r="D255" s="1" t="n">
        <v>45728</v>
      </c>
      <c r="E255" s="1" t="n">
        <v>46316</v>
      </c>
      <c r="F255" t="inlineStr">
        <is>
          <t>VÄSTRA GÖTALANDS LÄN</t>
        </is>
      </c>
      <c r="G255" t="inlineStr">
        <is>
          <t>VARA</t>
        </is>
      </c>
      <c r="I255" t="n">
        <v>1.5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s="2" t="inlineStr"/>
    </row>
    <row r="256" ht="15" customHeight="1">
      <c r="A256" t="inlineStr">
        <is>
          <t>A 20536-2022</t>
        </is>
      </c>
      <c r="B256" t="inlineStr">
        <is>
          <t>avverkningsanmälan</t>
        </is>
      </c>
      <c r="C256" t="inlineStr">
        <is>
          <t>Föryngringsavverkning</t>
        </is>
      </c>
      <c r="D256" s="1" t="n">
        <v>44700</v>
      </c>
      <c r="E256" s="1" t="n">
        <v>46316</v>
      </c>
      <c r="F256" t="inlineStr">
        <is>
          <t>VÄSTRA GÖTALANDS LÄN</t>
        </is>
      </c>
      <c r="G256" t="inlineStr">
        <is>
          <t>VARA</t>
        </is>
      </c>
      <c r="I256" t="n">
        <v>3.9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s="2" t="inlineStr"/>
    </row>
    <row r="257" ht="15" customHeight="1">
      <c r="A257" t="inlineStr">
        <is>
          <t>A 57465-2024</t>
        </is>
      </c>
      <c r="B257" t="inlineStr">
        <is>
          <t>avverkningsanmälan</t>
        </is>
      </c>
      <c r="C257" t="inlineStr">
        <is>
          <t>Föryngringsavverkning</t>
        </is>
      </c>
      <c r="D257" s="1" t="n">
        <v>45630</v>
      </c>
      <c r="E257" s="1" t="n">
        <v>46316</v>
      </c>
      <c r="F257" t="inlineStr">
        <is>
          <t>VÄSTRA GÖTALANDS LÄN</t>
        </is>
      </c>
      <c r="G257" t="inlineStr">
        <is>
          <t>VARA</t>
        </is>
      </c>
      <c r="I257" t="n">
        <v>1.6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s="2" t="inlineStr"/>
    </row>
    <row r="258" ht="15" customHeight="1">
      <c r="A258" t="inlineStr">
        <is>
          <t>A 725-2025</t>
        </is>
      </c>
      <c r="B258" t="inlineStr">
        <is>
          <t>avverkningsanmälan</t>
        </is>
      </c>
      <c r="C258" t="inlineStr">
        <is>
          <t>Föryngringsavverkning</t>
        </is>
      </c>
      <c r="D258" s="1" t="n">
        <v>45665</v>
      </c>
      <c r="E258" s="1" t="n">
        <v>46316</v>
      </c>
      <c r="F258" t="inlineStr">
        <is>
          <t>VÄSTRA GÖTALANDS LÄN</t>
        </is>
      </c>
      <c r="G258" t="inlineStr">
        <is>
          <t>VARA</t>
        </is>
      </c>
      <c r="I258" t="n">
        <v>2.2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s="2" t="inlineStr"/>
    </row>
    <row r="259" ht="15" customHeight="1">
      <c r="A259" t="inlineStr">
        <is>
          <t>A 13513-2024</t>
        </is>
      </c>
      <c r="B259" t="inlineStr">
        <is>
          <t>avverkningsanmälan</t>
        </is>
      </c>
      <c r="C259" t="inlineStr">
        <is>
          <t>Föryngringsavverkning</t>
        </is>
      </c>
      <c r="D259" s="1" t="n">
        <v>45387</v>
      </c>
      <c r="E259" s="1" t="n">
        <v>46316</v>
      </c>
      <c r="F259" t="inlineStr">
        <is>
          <t>VÄSTRA GÖTALANDS LÄN</t>
        </is>
      </c>
      <c r="G259" t="inlineStr">
        <is>
          <t>VARA</t>
        </is>
      </c>
      <c r="I259" t="n">
        <v>1.2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s="2" t="inlineStr"/>
    </row>
    <row r="260" ht="15" customHeight="1">
      <c r="A260" t="inlineStr">
        <is>
          <t>A 10303-2024</t>
        </is>
      </c>
      <c r="B260" t="inlineStr">
        <is>
          <t>avverkningsanmälan</t>
        </is>
      </c>
      <c r="C260" t="inlineStr">
        <is>
          <t>Avverkning för annat ändamål</t>
        </is>
      </c>
      <c r="D260" s="1" t="n">
        <v>45365</v>
      </c>
      <c r="E260" s="1" t="n">
        <v>46316</v>
      </c>
      <c r="F260" t="inlineStr">
        <is>
          <t>VÄSTRA GÖTALANDS LÄN</t>
        </is>
      </c>
      <c r="G260" t="inlineStr">
        <is>
          <t>VARA</t>
        </is>
      </c>
      <c r="I260" t="n">
        <v>1.9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s="2" t="inlineStr"/>
    </row>
    <row r="261" ht="15" customHeight="1">
      <c r="A261" t="inlineStr">
        <is>
          <t>S 279-2024</t>
        </is>
      </c>
      <c r="B261" t="inlineStr">
        <is>
          <t>samrådsanmälan</t>
        </is>
      </c>
      <c r="C261" t="inlineStr">
        <is>
          <t>Askåterföring</t>
        </is>
      </c>
      <c r="D261" s="1" t="n">
        <v>45323</v>
      </c>
      <c r="E261" s="1" t="n">
        <v>46316</v>
      </c>
      <c r="F261" t="inlineStr">
        <is>
          <t>VÄSTRA GÖTALANDS LÄN</t>
        </is>
      </c>
      <c r="G261" t="inlineStr">
        <is>
          <t>VARA</t>
        </is>
      </c>
      <c r="I261" t="n">
        <v>3.8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s="2" t="inlineStr"/>
    </row>
    <row r="262" ht="15" customHeight="1">
      <c r="A262" t="inlineStr">
        <is>
          <t>S 1352-2022</t>
        </is>
      </c>
      <c r="B262" t="inlineStr">
        <is>
          <t>samrådsanmälan</t>
        </is>
      </c>
      <c r="C262" t="inlineStr">
        <is>
          <t>Askåterföring</t>
        </is>
      </c>
      <c r="D262" s="1" t="n">
        <v>44628</v>
      </c>
      <c r="E262" s="1" t="n">
        <v>46316</v>
      </c>
      <c r="F262" t="inlineStr">
        <is>
          <t>VÄSTRA GÖTALANDS LÄN</t>
        </is>
      </c>
      <c r="G262" t="inlineStr">
        <is>
          <t>VARA</t>
        </is>
      </c>
      <c r="H262" t="inlineStr">
        <is>
          <t>Kyrkan</t>
        </is>
      </c>
      <c r="I262" t="n">
        <v>47.1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s="2" t="inlineStr"/>
    </row>
    <row r="263" ht="15" customHeight="1">
      <c r="A263" t="inlineStr">
        <is>
          <t>S 273-2024</t>
        </is>
      </c>
      <c r="B263" t="inlineStr">
        <is>
          <t>samrådsanmälan</t>
        </is>
      </c>
      <c r="C263" t="inlineStr">
        <is>
          <t>Askåterföring</t>
        </is>
      </c>
      <c r="D263" s="1" t="n">
        <v>45323</v>
      </c>
      <c r="E263" s="1" t="n">
        <v>46316</v>
      </c>
      <c r="F263" t="inlineStr">
        <is>
          <t>VÄSTRA GÖTALANDS LÄN</t>
        </is>
      </c>
      <c r="G263" t="inlineStr">
        <is>
          <t>VARA</t>
        </is>
      </c>
      <c r="I263" t="n">
        <v>38.9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s="2" t="inlineStr"/>
    </row>
    <row r="264" ht="15" customHeight="1">
      <c r="A264" t="inlineStr">
        <is>
          <t>S 761-2022</t>
        </is>
      </c>
      <c r="B264" t="inlineStr">
        <is>
          <t>samrådsanmälan</t>
        </is>
      </c>
      <c r="C264" t="inlineStr">
        <is>
          <t>Annan skogsbruksåtgärd</t>
        </is>
      </c>
      <c r="D264" s="1" t="n">
        <v>44601</v>
      </c>
      <c r="E264" s="1" t="n">
        <v>46316</v>
      </c>
      <c r="F264" t="inlineStr">
        <is>
          <t>VÄSTRA GÖTALANDS LÄN</t>
        </is>
      </c>
      <c r="G264" t="inlineStr">
        <is>
          <t>VARA</t>
        </is>
      </c>
      <c r="H264" t="inlineStr">
        <is>
          <t>Sveaskog</t>
        </is>
      </c>
      <c r="I264" t="n">
        <v>1.4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s="2" t="inlineStr"/>
    </row>
    <row r="265" ht="15" customHeight="1">
      <c r="A265" t="inlineStr">
        <is>
          <t>S 777-2024</t>
        </is>
      </c>
      <c r="B265" t="inlineStr">
        <is>
          <t>samrådsanmälan</t>
        </is>
      </c>
      <c r="C265" t="inlineStr">
        <is>
          <t>Annan skogsbruksåtgärd</t>
        </is>
      </c>
      <c r="D265" s="1" t="n">
        <v>45368</v>
      </c>
      <c r="E265" s="1" t="n">
        <v>46316</v>
      </c>
      <c r="F265" t="inlineStr">
        <is>
          <t>VÄSTRA GÖTALANDS LÄN</t>
        </is>
      </c>
      <c r="G265" t="inlineStr">
        <is>
          <t>VARA</t>
        </is>
      </c>
      <c r="I265" t="n">
        <v>2.9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s="2" t="inlineStr"/>
    </row>
    <row r="266" ht="15" customHeight="1">
      <c r="A266" t="inlineStr">
        <is>
          <t>S 274-2024</t>
        </is>
      </c>
      <c r="B266" t="inlineStr">
        <is>
          <t>samrådsanmälan</t>
        </is>
      </c>
      <c r="C266" t="inlineStr">
        <is>
          <t>Askåterföring</t>
        </is>
      </c>
      <c r="D266" s="1" t="n">
        <v>45323</v>
      </c>
      <c r="E266" s="1" t="n">
        <v>46316</v>
      </c>
      <c r="F266" t="inlineStr">
        <is>
          <t>VÄSTRA GÖTALANDS LÄN</t>
        </is>
      </c>
      <c r="G266" t="inlineStr">
        <is>
          <t>VARA</t>
        </is>
      </c>
      <c r="I266" t="n">
        <v>7.9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s="2" t="inlineStr"/>
    </row>
    <row r="267" ht="15" customHeight="1">
      <c r="A267" t="inlineStr">
        <is>
          <t>S 280-2024</t>
        </is>
      </c>
      <c r="B267" t="inlineStr">
        <is>
          <t>samrådsanmälan</t>
        </is>
      </c>
      <c r="C267" t="inlineStr">
        <is>
          <t>Askåterföring</t>
        </is>
      </c>
      <c r="D267" s="1" t="n">
        <v>45323</v>
      </c>
      <c r="E267" s="1" t="n">
        <v>46316</v>
      </c>
      <c r="F267" t="inlineStr">
        <is>
          <t>VÄSTRA GÖTALANDS LÄN</t>
        </is>
      </c>
      <c r="G267" t="inlineStr">
        <is>
          <t>VARA</t>
        </is>
      </c>
      <c r="I267" t="n">
        <v>16.3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s="2" t="inlineStr"/>
    </row>
    <row r="268">
      <c r="A268" t="inlineStr">
        <is>
          <t>S 510-2025</t>
        </is>
      </c>
      <c r="B268" t="inlineStr">
        <is>
          <t>samrådsanmälan</t>
        </is>
      </c>
      <c r="C268" t="inlineStr">
        <is>
          <t>Askåterföring</t>
        </is>
      </c>
      <c r="D268" s="1" t="n">
        <v>45706</v>
      </c>
      <c r="E268" s="1" t="n">
        <v>46316</v>
      </c>
      <c r="F268" t="inlineStr">
        <is>
          <t>VÄSTRA GÖTALANDS LÄN</t>
        </is>
      </c>
      <c r="G268" t="inlineStr">
        <is>
          <t>VARA</t>
        </is>
      </c>
      <c r="I268" t="n">
        <v>32.6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2026-10-21T02:05:54Z</dcterms:created>
  <dcterms:modified xmlns:dcterms="http://purl.org/dc/terms/" xmlns:xsi="http://www.w3.org/2001/XMLSchema-instance" xsi:type="dcterms:W3CDTF">2026-10-21T02:05:55Z</dcterms:modified>
</cp:coreProperties>
</file>