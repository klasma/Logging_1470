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46217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s="2" t="inlineStr">
        <is>
          <t>Mattlummer</t>
        </is>
      </c>
      <c r="V2">
        <f>HYPERLINK("https://klasma.github.io/Logging_1470/artfynd/A 56164-2024 artfynd.xlsx", "A 56164-2024")</f>
        <v/>
      </c>
      <c r="W2">
        <f>HYPERLINK("https://klasma.github.io/Logging_1470/kartor/A 56164-2024 karta.png", "A 56164-2024")</f>
        <v/>
      </c>
      <c r="Y2">
        <f>HYPERLINK("https://klasma.github.io/Logging_1470/klagomål/A 56164-2024 FSC-klagomål.docx", "A 56164-2024")</f>
        <v/>
      </c>
      <c r="Z2">
        <f>HYPERLINK("https://klasma.github.io/Logging_1470/klagomålsmail/A 56164-2024 FSC-klagomål mail.docx", "A 56164-2024")</f>
        <v/>
      </c>
      <c r="AA2">
        <f>HYPERLINK("https://klasma.github.io/Logging_1470/tillsyn/A 56164-2024 tillsynsbegäran.docx", "A 56164-2024")</f>
        <v/>
      </c>
      <c r="AB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46217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Revlummer</t>
        </is>
      </c>
      <c r="V3">
        <f>HYPERLINK("https://klasma.github.io/Logging_1470/artfynd/A 54293-2023 artfynd.xlsx", "A 54293-2023")</f>
        <v/>
      </c>
      <c r="W3">
        <f>HYPERLINK("https://klasma.github.io/Logging_1470/kartor/A 54293-2023 karta.png", "A 54293-2023")</f>
        <v/>
      </c>
      <c r="Y3">
        <f>HYPERLINK("https://klasma.github.io/Logging_1470/klagomål/A 54293-2023 FSC-klagomål.docx", "A 54293-2023")</f>
        <v/>
      </c>
      <c r="Z3">
        <f>HYPERLINK("https://klasma.github.io/Logging_1470/klagomålsmail/A 54293-2023 FSC-klagomål mail.docx", "A 54293-2023")</f>
        <v/>
      </c>
      <c r="AA3">
        <f>HYPERLINK("https://klasma.github.io/Logging_1470/tillsyn/A 54293-2023 tillsynsbegäran.docx", "A 54293-2023")</f>
        <v/>
      </c>
      <c r="AB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46217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46217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46217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Härfågel</t>
        </is>
      </c>
      <c r="V6">
        <f>HYPERLINK("https://klasma.github.io/Logging_1470/artfynd/A 11270-2025 artfynd.xlsx", "A 11270-2025")</f>
        <v/>
      </c>
      <c r="W6">
        <f>HYPERLINK("https://klasma.github.io/Logging_1470/kartor/A 11270-2025 karta.png", "A 11270-2025")</f>
        <v/>
      </c>
      <c r="Y6">
        <f>HYPERLINK("https://klasma.github.io/Logging_1470/klagomål/A 11270-2025 FSC-klagomål.docx", "A 11270-2025")</f>
        <v/>
      </c>
      <c r="Z6">
        <f>HYPERLINK("https://klasma.github.io/Logging_1470/klagomålsmail/A 11270-2025 FSC-klagomål mail.docx", "A 11270-2025")</f>
        <v/>
      </c>
      <c r="AA6">
        <f>HYPERLINK("https://klasma.github.io/Logging_1470/tillsyn/A 11270-2025 tillsynsbegäran.docx", "A 11270-2025")</f>
        <v/>
      </c>
      <c r="AB6">
        <f>HYPERLINK("https://klasma.github.io/Logging_1470/tillsynsmail/A 11270-2025 tillsynsbegäran mail.docx", "A 11270-2025")</f>
        <v/>
      </c>
      <c r="AC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46217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46217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46217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46217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46217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46217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46217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46217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46217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46217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46217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46217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46217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46217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46217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46217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46217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46217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46217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46217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46217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46217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46217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46217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46217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46217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46217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46217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46217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46217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46217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46217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46217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46217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46217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46217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46217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46217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46217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46217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46217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46217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46217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44867</v>
      </c>
      <c r="E50" s="1" t="n">
        <v>46217</v>
      </c>
      <c r="F50" t="inlineStr">
        <is>
          <t>VÄSTRA GÖTALANDS LÄN</t>
        </is>
      </c>
      <c r="G50" t="inlineStr">
        <is>
          <t>VARA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46217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46217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46217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46217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46217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46217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46217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46217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45435</v>
      </c>
      <c r="E59" s="1" t="n">
        <v>46217</v>
      </c>
      <c r="F59" t="inlineStr">
        <is>
          <t>VÄSTRA GÖTALANDS LÄN</t>
        </is>
      </c>
      <c r="G59" t="inlineStr">
        <is>
          <t>VARA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64317-2023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45279</v>
      </c>
      <c r="E60" s="1" t="n">
        <v>46217</v>
      </c>
      <c r="F60" t="inlineStr">
        <is>
          <t>VÄSTRA GÖTALANDS LÄN</t>
        </is>
      </c>
      <c r="G60" t="inlineStr">
        <is>
          <t>VARA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64330-2023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46217</v>
      </c>
      <c r="F61" t="inlineStr">
        <is>
          <t>VÄSTRA GÖTALANDS LÄN</t>
        </is>
      </c>
      <c r="G61" t="inlineStr">
        <is>
          <t>VARA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23065-2024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46217</v>
      </c>
      <c r="F62" t="inlineStr">
        <is>
          <t>VÄSTRA GÖTALANDS LÄN</t>
        </is>
      </c>
      <c r="G62" t="inlineStr">
        <is>
          <t>VARA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44934</v>
      </c>
      <c r="E63" s="1" t="n">
        <v>46217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49820-2022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46217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60819-2023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45260</v>
      </c>
      <c r="E65" s="1" t="n">
        <v>46217</v>
      </c>
      <c r="F65" t="inlineStr">
        <is>
          <t>VÄSTRA GÖTALANDS LÄN</t>
        </is>
      </c>
      <c r="G65" t="inlineStr">
        <is>
          <t>VARA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9404-2022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46217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10728-2023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46217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45055</v>
      </c>
      <c r="E68" s="1" t="n">
        <v>46217</v>
      </c>
      <c r="F68" t="inlineStr">
        <is>
          <t>VÄSTRA GÖTALANDS LÄN</t>
        </is>
      </c>
      <c r="G68" t="inlineStr">
        <is>
          <t>VARA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9215-2024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46217</v>
      </c>
      <c r="F69" t="inlineStr">
        <is>
          <t>VÄSTRA GÖTALANDS LÄN</t>
        </is>
      </c>
      <c r="G69" t="inlineStr">
        <is>
          <t>VARA</t>
        </is>
      </c>
      <c r="I69" t="n">
        <v>12.2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45688</v>
      </c>
      <c r="E70" s="1" t="n">
        <v>46217</v>
      </c>
      <c r="F70" t="inlineStr">
        <is>
          <t>VÄSTRA GÖTALANDS LÄN</t>
        </is>
      </c>
      <c r="G70" t="inlineStr">
        <is>
          <t>VARA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45217</v>
      </c>
      <c r="E71" s="1" t="n">
        <v>46217</v>
      </c>
      <c r="F71" t="inlineStr">
        <is>
          <t>VÄSTRA GÖTALANDS LÄN</t>
        </is>
      </c>
      <c r="G71" t="inlineStr">
        <is>
          <t>VARA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36630-2025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45870</v>
      </c>
      <c r="E72" s="1" t="n">
        <v>46217</v>
      </c>
      <c r="F72" t="inlineStr">
        <is>
          <t>VÄSTRA GÖTALANDS LÄN</t>
        </is>
      </c>
      <c r="G72" t="inlineStr">
        <is>
          <t>VARA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36632-2025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45870</v>
      </c>
      <c r="E73" s="1" t="n">
        <v>46217</v>
      </c>
      <c r="F73" t="inlineStr">
        <is>
          <t>VÄSTRA GÖTALANDS LÄN</t>
        </is>
      </c>
      <c r="G73" t="inlineStr">
        <is>
          <t>VARA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46217</v>
      </c>
      <c r="F74" t="inlineStr">
        <is>
          <t>VÄSTRA GÖTALANDS LÄN</t>
        </is>
      </c>
      <c r="G74" t="inlineStr">
        <is>
          <t>VARA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12007-2025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46217</v>
      </c>
      <c r="F75" t="inlineStr">
        <is>
          <t>VÄSTRA GÖTALANDS LÄN</t>
        </is>
      </c>
      <c r="G75" t="inlineStr">
        <is>
          <t>VARA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49391-2024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45595</v>
      </c>
      <c r="E76" s="1" t="n">
        <v>46217</v>
      </c>
      <c r="F76" t="inlineStr">
        <is>
          <t>VÄSTRA GÖTALANDS LÄN</t>
        </is>
      </c>
      <c r="G76" t="inlineStr">
        <is>
          <t>VARA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46217</v>
      </c>
      <c r="F77" t="inlineStr">
        <is>
          <t>VÄSTRA GÖTALANDS LÄN</t>
        </is>
      </c>
      <c r="G77" t="inlineStr">
        <is>
          <t>VARA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45299</v>
      </c>
      <c r="E78" s="1" t="n">
        <v>46217</v>
      </c>
      <c r="F78" t="inlineStr">
        <is>
          <t>VÄSTRA GÖTALANDS LÄN</t>
        </is>
      </c>
      <c r="G78" t="inlineStr">
        <is>
          <t>VARA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45308</v>
      </c>
      <c r="E79" s="1" t="n">
        <v>46217</v>
      </c>
      <c r="F79" t="inlineStr">
        <is>
          <t>VÄSTRA GÖTALANDS LÄN</t>
        </is>
      </c>
      <c r="G79" t="inlineStr">
        <is>
          <t>VARA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71326-2021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46217</v>
      </c>
      <c r="F80" t="inlineStr">
        <is>
          <t>VÄSTRA GÖTALANDS LÄN</t>
        </is>
      </c>
      <c r="G80" t="inlineStr">
        <is>
          <t>VARA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45348</v>
      </c>
      <c r="E81" s="1" t="n">
        <v>46217</v>
      </c>
      <c r="F81" t="inlineStr">
        <is>
          <t>VÄSTRA GÖTALANDS LÄN</t>
        </is>
      </c>
      <c r="G81" t="inlineStr">
        <is>
          <t>VARA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46217</v>
      </c>
      <c r="F82" t="inlineStr">
        <is>
          <t>VÄSTRA GÖTALANDS LÄN</t>
        </is>
      </c>
      <c r="G82" t="inlineStr">
        <is>
          <t>VARA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62775-2023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45271</v>
      </c>
      <c r="E83" s="1" t="n">
        <v>46217</v>
      </c>
      <c r="F83" t="inlineStr">
        <is>
          <t>VÄSTRA GÖTALANDS LÄN</t>
        </is>
      </c>
      <c r="G83" t="inlineStr">
        <is>
          <t>VARA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56456-2022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46217</v>
      </c>
      <c r="F84" t="inlineStr">
        <is>
          <t>VÄSTRA GÖTALANDS LÄN</t>
        </is>
      </c>
      <c r="G84" t="inlineStr">
        <is>
          <t>VARA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55667-2024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46217</v>
      </c>
      <c r="F85" t="inlineStr">
        <is>
          <t>VÄSTRA GÖTALANDS LÄN</t>
        </is>
      </c>
      <c r="G85" t="inlineStr">
        <is>
          <t>VARA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9058-2025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46217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35588-2023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46217</v>
      </c>
      <c r="F87" t="inlineStr">
        <is>
          <t>VÄSTRA GÖTALANDS LÄN</t>
        </is>
      </c>
      <c r="G87" t="inlineStr">
        <is>
          <t>VARA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45685</v>
      </c>
      <c r="E88" s="1" t="n">
        <v>46217</v>
      </c>
      <c r="F88" t="inlineStr">
        <is>
          <t>VÄSTRA GÖTALANDS LÄN</t>
        </is>
      </c>
      <c r="G88" t="inlineStr">
        <is>
          <t>VARA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44934</v>
      </c>
      <c r="E89" s="1" t="n">
        <v>46217</v>
      </c>
      <c r="F89" t="inlineStr">
        <is>
          <t>VÄSTRA GÖTALANDS LÄN</t>
        </is>
      </c>
      <c r="G89" t="inlineStr">
        <is>
          <t>VARA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60543-2024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46217</v>
      </c>
      <c r="F90" t="inlineStr">
        <is>
          <t>VÄSTRA GÖTALANDS LÄN</t>
        </is>
      </c>
      <c r="G90" t="inlineStr">
        <is>
          <t>VARA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46217</v>
      </c>
      <c r="F91" t="inlineStr">
        <is>
          <t>VÄSTRA GÖTALANDS LÄN</t>
        </is>
      </c>
      <c r="G91" t="inlineStr">
        <is>
          <t>VARA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7851-2023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44973</v>
      </c>
      <c r="E92" s="1" t="n">
        <v>46217</v>
      </c>
      <c r="F92" t="inlineStr">
        <is>
          <t>VÄSTRA GÖTALANDS LÄN</t>
        </is>
      </c>
      <c r="G92" t="inlineStr">
        <is>
          <t>VARA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20022-2026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46136</v>
      </c>
      <c r="E93" s="1" t="n">
        <v>46217</v>
      </c>
      <c r="F93" t="inlineStr">
        <is>
          <t>VÄSTRA GÖTALANDS LÄN</t>
        </is>
      </c>
      <c r="G93" t="inlineStr">
        <is>
          <t>VARA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41286-2025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46217</v>
      </c>
      <c r="F94" t="inlineStr">
        <is>
          <t>VÄSTRA GÖTALANDS LÄN</t>
        </is>
      </c>
      <c r="G94" t="inlineStr">
        <is>
          <t>VARA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45142</v>
      </c>
      <c r="E95" s="1" t="n">
        <v>46217</v>
      </c>
      <c r="F95" t="inlineStr">
        <is>
          <t>VÄSTRA GÖTALANDS LÄN</t>
        </is>
      </c>
      <c r="G95" t="inlineStr">
        <is>
          <t>VARA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33300-2023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45116</v>
      </c>
      <c r="E96" s="1" t="n">
        <v>46217</v>
      </c>
      <c r="F96" t="inlineStr">
        <is>
          <t>VÄSTRA GÖTALANDS LÄN</t>
        </is>
      </c>
      <c r="G96" t="inlineStr">
        <is>
          <t>VARA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33301-2023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45116</v>
      </c>
      <c r="E97" s="1" t="n">
        <v>46217</v>
      </c>
      <c r="F97" t="inlineStr">
        <is>
          <t>VÄSTRA GÖTALANDS LÄN</t>
        </is>
      </c>
      <c r="G97" t="inlineStr">
        <is>
          <t>VARA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45899</v>
      </c>
      <c r="E98" s="1" t="n">
        <v>46217</v>
      </c>
      <c r="F98" t="inlineStr">
        <is>
          <t>VÄSTRA GÖTALANDS LÄN</t>
        </is>
      </c>
      <c r="G98" t="inlineStr">
        <is>
          <t>VARA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61269-2024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46217</v>
      </c>
      <c r="F99" t="inlineStr">
        <is>
          <t>VÄSTRA GÖTALANDS LÄN</t>
        </is>
      </c>
      <c r="G99" t="inlineStr">
        <is>
          <t>VARA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46217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44947-2024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46217</v>
      </c>
      <c r="F101" t="inlineStr">
        <is>
          <t>VÄSTRA GÖTALANDS LÄN</t>
        </is>
      </c>
      <c r="G101" t="inlineStr">
        <is>
          <t>VARA</t>
        </is>
      </c>
      <c r="H101" t="inlineStr">
        <is>
          <t>Sveaskog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31260-2022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44771</v>
      </c>
      <c r="E102" s="1" t="n">
        <v>46217</v>
      </c>
      <c r="F102" t="inlineStr">
        <is>
          <t>VÄSTRA GÖTALANDS LÄN</t>
        </is>
      </c>
      <c r="G102" t="inlineStr">
        <is>
          <t>VARA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46217</v>
      </c>
      <c r="F103" t="inlineStr">
        <is>
          <t>VÄSTRA GÖTALANDS LÄN</t>
        </is>
      </c>
      <c r="G103" t="inlineStr">
        <is>
          <t>VARA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42920-2025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46217</v>
      </c>
      <c r="F104" t="inlineStr">
        <is>
          <t>VÄSTRA GÖTALANDS LÄN</t>
        </is>
      </c>
      <c r="G104" t="inlineStr">
        <is>
          <t>VARA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44642</v>
      </c>
      <c r="E105" s="1" t="n">
        <v>46217</v>
      </c>
      <c r="F105" t="inlineStr">
        <is>
          <t>VÄSTRA GÖTALANDS LÄN</t>
        </is>
      </c>
      <c r="G105" t="inlineStr">
        <is>
          <t>VARA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51421-2021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46217</v>
      </c>
      <c r="F106" t="inlineStr">
        <is>
          <t>VÄSTRA GÖTALANDS LÄN</t>
        </is>
      </c>
      <c r="G106" t="inlineStr">
        <is>
          <t>VARA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51421-2021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46217</v>
      </c>
      <c r="F107" t="inlineStr">
        <is>
          <t>VÄSTRA GÖTALANDS LÄN</t>
        </is>
      </c>
      <c r="G107" t="inlineStr">
        <is>
          <t>VARA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49863-2025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46217</v>
      </c>
      <c r="F108" t="inlineStr">
        <is>
          <t>VÄSTRA GÖTALANDS LÄN</t>
        </is>
      </c>
      <c r="G108" t="inlineStr">
        <is>
          <t>VARA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6517-2022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46217</v>
      </c>
      <c r="F109" t="inlineStr">
        <is>
          <t>VÄSTRA GÖTALANDS LÄN</t>
        </is>
      </c>
      <c r="G109" t="inlineStr">
        <is>
          <t>VARA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38920-2022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46217</v>
      </c>
      <c r="F110" t="inlineStr">
        <is>
          <t>VÄSTRA GÖTALANDS LÄN</t>
        </is>
      </c>
      <c r="G110" t="inlineStr">
        <is>
          <t>VARA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18836-2026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46217</v>
      </c>
      <c r="F111" t="inlineStr">
        <is>
          <t>VÄSTRA GÖTALANDS LÄN</t>
        </is>
      </c>
      <c r="G111" t="inlineStr">
        <is>
          <t>VARA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9380-2025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46217</v>
      </c>
      <c r="F112" t="inlineStr">
        <is>
          <t>VÄSTRA GÖTALANDS LÄN</t>
        </is>
      </c>
      <c r="G112" t="inlineStr">
        <is>
          <t>VARA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31967-2024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46217</v>
      </c>
      <c r="F113" t="inlineStr">
        <is>
          <t>VÄSTRA GÖTALANDS LÄN</t>
        </is>
      </c>
      <c r="G113" t="inlineStr">
        <is>
          <t>VARA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45637</v>
      </c>
      <c r="E114" s="1" t="n">
        <v>46217</v>
      </c>
      <c r="F114" t="inlineStr">
        <is>
          <t>VÄSTRA GÖTALANDS LÄN</t>
        </is>
      </c>
      <c r="G114" t="inlineStr">
        <is>
          <t>VARA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46217</v>
      </c>
      <c r="F115" t="inlineStr">
        <is>
          <t>VÄSTRA GÖTALANDS LÄN</t>
        </is>
      </c>
      <c r="G115" t="inlineStr">
        <is>
          <t>VARA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47332-2023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46217</v>
      </c>
      <c r="F116" t="inlineStr">
        <is>
          <t>VÄSTRA GÖTALANDS LÄN</t>
        </is>
      </c>
      <c r="G116" t="inlineStr">
        <is>
          <t>VARA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46217</v>
      </c>
      <c r="F117" t="inlineStr">
        <is>
          <t>VÄSTRA GÖTALANDS LÄN</t>
        </is>
      </c>
      <c r="G117" t="inlineStr">
        <is>
          <t>VARA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50123-2025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46217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44579</v>
      </c>
      <c r="E119" s="1" t="n">
        <v>46217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46217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46217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46217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46217</v>
      </c>
      <c r="F123" t="inlineStr">
        <is>
          <t>VÄSTRA GÖTALANDS LÄN</t>
        </is>
      </c>
      <c r="G123" t="inlineStr">
        <is>
          <t>VARA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46217</v>
      </c>
      <c r="F124" t="inlineStr">
        <is>
          <t>VÄSTRA GÖTALANDS LÄN</t>
        </is>
      </c>
      <c r="G124" t="inlineStr">
        <is>
          <t>VARA</t>
        </is>
      </c>
      <c r="I124" t="n">
        <v>19.8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53606-2025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46217</v>
      </c>
      <c r="F125" t="inlineStr">
        <is>
          <t>VÄSTRA GÖTALANDS LÄN</t>
        </is>
      </c>
      <c r="G125" t="inlineStr">
        <is>
          <t>VARA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46217</v>
      </c>
      <c r="F126" t="inlineStr">
        <is>
          <t>VÄSTRA GÖTALANDS LÄN</t>
        </is>
      </c>
      <c r="G126" t="inlineStr">
        <is>
          <t>VARA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46217</v>
      </c>
      <c r="F127" t="inlineStr">
        <is>
          <t>VÄSTRA GÖTALANDS LÄN</t>
        </is>
      </c>
      <c r="G127" t="inlineStr">
        <is>
          <t>VARA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27845-2023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46217</v>
      </c>
      <c r="F128" t="inlineStr">
        <is>
          <t>VÄSTRA GÖTALANDS LÄN</t>
        </is>
      </c>
      <c r="G128" t="inlineStr">
        <is>
          <t>VARA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20911-2025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46217</v>
      </c>
      <c r="F129" t="inlineStr">
        <is>
          <t>VÄSTRA GÖTALANDS LÄN</t>
        </is>
      </c>
      <c r="G129" t="inlineStr">
        <is>
          <t>VARA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25827-2026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46178</v>
      </c>
      <c r="E130" s="1" t="n">
        <v>46217</v>
      </c>
      <c r="F130" t="inlineStr">
        <is>
          <t>VÄSTRA GÖTALANDS LÄN</t>
        </is>
      </c>
      <c r="G130" t="inlineStr">
        <is>
          <t>VARA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18224-2022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44685</v>
      </c>
      <c r="E131" s="1" t="n">
        <v>46217</v>
      </c>
      <c r="F131" t="inlineStr">
        <is>
          <t>VÄSTRA GÖTALANDS LÄN</t>
        </is>
      </c>
      <c r="G131" t="inlineStr">
        <is>
          <t>VARA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18244-2022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44685</v>
      </c>
      <c r="E132" s="1" t="n">
        <v>46217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46217</v>
      </c>
      <c r="F133" t="inlineStr">
        <is>
          <t>VÄSTRA GÖTALANDS LÄN</t>
        </is>
      </c>
      <c r="G133" t="inlineStr">
        <is>
          <t>VARA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42486-2021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44427</v>
      </c>
      <c r="E134" s="1" t="n">
        <v>46217</v>
      </c>
      <c r="F134" t="inlineStr">
        <is>
          <t>VÄSTRA GÖTALANDS LÄN</t>
        </is>
      </c>
      <c r="G134" t="inlineStr">
        <is>
          <t>VARA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46217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46217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14116-2025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45740</v>
      </c>
      <c r="E137" s="1" t="n">
        <v>46217</v>
      </c>
      <c r="F137" t="inlineStr">
        <is>
          <t>VÄSTRA GÖTALANDS LÄN</t>
        </is>
      </c>
      <c r="G137" t="inlineStr">
        <is>
          <t>VARA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45979</v>
      </c>
      <c r="E138" s="1" t="n">
        <v>46217</v>
      </c>
      <c r="F138" t="inlineStr">
        <is>
          <t>VÄSTRA GÖTALANDS LÄN</t>
        </is>
      </c>
      <c r="G138" t="inlineStr">
        <is>
          <t>VARA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46217</v>
      </c>
      <c r="F139" t="inlineStr">
        <is>
          <t>VÄSTRA GÖTALANDS LÄN</t>
        </is>
      </c>
      <c r="G139" t="inlineStr">
        <is>
          <t>VARA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27980-2026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46217</v>
      </c>
      <c r="F140" t="inlineStr">
        <is>
          <t>VÄSTRA GÖTALANDS LÄN</t>
        </is>
      </c>
      <c r="G140" t="inlineStr">
        <is>
          <t>VARA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46217</v>
      </c>
      <c r="F141" t="inlineStr">
        <is>
          <t>VÄSTRA GÖTALANDS LÄN</t>
        </is>
      </c>
      <c r="G141" t="inlineStr">
        <is>
          <t>VARA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60216-2025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46217</v>
      </c>
      <c r="F142" t="inlineStr">
        <is>
          <t>VÄSTRA GÖTALANDS LÄN</t>
        </is>
      </c>
      <c r="G142" t="inlineStr">
        <is>
          <t>VARA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59946-2022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46217</v>
      </c>
      <c r="F143" t="inlineStr">
        <is>
          <t>VÄSTRA GÖTALANDS LÄN</t>
        </is>
      </c>
      <c r="G143" t="inlineStr">
        <is>
          <t>VARA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73168-2021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46217</v>
      </c>
      <c r="F144" t="inlineStr">
        <is>
          <t>VÄSTRA GÖTALANDS LÄN</t>
        </is>
      </c>
      <c r="G144" t="inlineStr">
        <is>
          <t>VARA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46217</v>
      </c>
      <c r="F145" t="inlineStr">
        <is>
          <t>VÄSTRA GÖTALANDS LÄN</t>
        </is>
      </c>
      <c r="G145" t="inlineStr">
        <is>
          <t>VARA</t>
        </is>
      </c>
      <c r="I145" t="n">
        <v>19.6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45303-2024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45576</v>
      </c>
      <c r="E146" s="1" t="n">
        <v>46217</v>
      </c>
      <c r="F146" t="inlineStr">
        <is>
          <t>VÄSTRA GÖTALANDS LÄN</t>
        </is>
      </c>
      <c r="G146" t="inlineStr">
        <is>
          <t>VARA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61737-2023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46217</v>
      </c>
      <c r="F147" t="inlineStr">
        <is>
          <t>VÄSTRA GÖTALANDS LÄN</t>
        </is>
      </c>
      <c r="G147" t="inlineStr">
        <is>
          <t>VARA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28195-2026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46196</v>
      </c>
      <c r="E148" s="1" t="n">
        <v>46217</v>
      </c>
      <c r="F148" t="inlineStr">
        <is>
          <t>VÄSTRA GÖTALANDS LÄN</t>
        </is>
      </c>
      <c r="G148" t="inlineStr">
        <is>
          <t>VARA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45338</v>
      </c>
      <c r="E149" s="1" t="n">
        <v>46217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46217</v>
      </c>
      <c r="F150" t="inlineStr">
        <is>
          <t>VÄSTRA GÖTALANDS LÄN</t>
        </is>
      </c>
      <c r="G150" t="inlineStr">
        <is>
          <t>VARA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46217</v>
      </c>
      <c r="F151" t="inlineStr">
        <is>
          <t>VÄSTRA GÖTALANDS LÄN</t>
        </is>
      </c>
      <c r="G151" t="inlineStr">
        <is>
          <t>VARA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54997-2025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46217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33099-2025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46217</v>
      </c>
      <c r="F153" t="inlineStr">
        <is>
          <t>VÄSTRA GÖTALANDS LÄN</t>
        </is>
      </c>
      <c r="G153" t="inlineStr">
        <is>
          <t>VARA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28851-2024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46217</v>
      </c>
      <c r="F154" t="inlineStr">
        <is>
          <t>VÄSTRA GÖTALANDS LÄN</t>
        </is>
      </c>
      <c r="G154" t="inlineStr">
        <is>
          <t>VARA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63842-2025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46217</v>
      </c>
      <c r="F155" t="inlineStr">
        <is>
          <t>VÄSTRA GÖTALANDS LÄN</t>
        </is>
      </c>
      <c r="G155" t="inlineStr">
        <is>
          <t>VARA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28706-2026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46217</v>
      </c>
      <c r="F156" t="inlineStr">
        <is>
          <t>VÄSTRA GÖTALANDS LÄN</t>
        </is>
      </c>
      <c r="G156" t="inlineStr">
        <is>
          <t>VARA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42427-2023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46217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46217</v>
      </c>
      <c r="F158" t="inlineStr">
        <is>
          <t>VÄSTRA GÖTALANDS LÄN</t>
        </is>
      </c>
      <c r="G158" t="inlineStr">
        <is>
          <t>VARA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13194-2022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44644</v>
      </c>
      <c r="E159" s="1" t="n">
        <v>46217</v>
      </c>
      <c r="F159" t="inlineStr">
        <is>
          <t>VÄSTRA GÖTALANDS LÄN</t>
        </is>
      </c>
      <c r="G159" t="inlineStr">
        <is>
          <t>VARA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20439-2024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45435</v>
      </c>
      <c r="E160" s="1" t="n">
        <v>46217</v>
      </c>
      <c r="F160" t="inlineStr">
        <is>
          <t>VÄSTRA GÖTALANDS LÄN</t>
        </is>
      </c>
      <c r="G160" t="inlineStr">
        <is>
          <t>VARA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49736-2024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46217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55356-2024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46217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46217</v>
      </c>
      <c r="F163" t="inlineStr">
        <is>
          <t>VÄSTRA GÖTALANDS LÄN</t>
        </is>
      </c>
      <c r="G163" t="inlineStr">
        <is>
          <t>VARA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37917-2023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45160</v>
      </c>
      <c r="E164" s="1" t="n">
        <v>46217</v>
      </c>
      <c r="F164" t="inlineStr">
        <is>
          <t>VÄSTRA GÖTALANDS LÄN</t>
        </is>
      </c>
      <c r="G164" t="inlineStr">
        <is>
          <t>VARA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46137-2023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46217</v>
      </c>
      <c r="F165" t="inlineStr">
        <is>
          <t>VÄSTRA GÖTALANDS LÄN</t>
        </is>
      </c>
      <c r="G165" t="inlineStr">
        <is>
          <t>VARA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9218-2024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46217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46217</v>
      </c>
      <c r="F167" t="inlineStr">
        <is>
          <t>VÄSTRA GÖTALANDS LÄN</t>
        </is>
      </c>
      <c r="G167" t="inlineStr">
        <is>
          <t>VARA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12026-2024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46217</v>
      </c>
      <c r="F168" t="inlineStr">
        <is>
          <t>VÄSTRA GÖTALANDS LÄN</t>
        </is>
      </c>
      <c r="G168" t="inlineStr">
        <is>
          <t>VARA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46217</v>
      </c>
      <c r="F169" t="inlineStr">
        <is>
          <t>VÄSTRA GÖTALANDS LÄN</t>
        </is>
      </c>
      <c r="G169" t="inlineStr">
        <is>
          <t>VARA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46217</v>
      </c>
      <c r="F170" t="inlineStr">
        <is>
          <t>VÄSTRA GÖTALANDS LÄN</t>
        </is>
      </c>
      <c r="G170" t="inlineStr">
        <is>
          <t>VARA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46217</v>
      </c>
      <c r="F171" t="inlineStr">
        <is>
          <t>VÄSTRA GÖTALANDS LÄN</t>
        </is>
      </c>
      <c r="G171" t="inlineStr">
        <is>
          <t>VARA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22721-2026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46217</v>
      </c>
      <c r="F172" t="inlineStr">
        <is>
          <t>VÄSTRA GÖTALANDS LÄN</t>
        </is>
      </c>
      <c r="G172" t="inlineStr">
        <is>
          <t>VARA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46217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57303-2024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46217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52918-2023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46217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8678-2026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46217</v>
      </c>
      <c r="F176" t="inlineStr">
        <is>
          <t>VÄSTRA GÖTALANDS LÄN</t>
        </is>
      </c>
      <c r="G176" t="inlineStr">
        <is>
          <t>VARA</t>
        </is>
      </c>
      <c r="H176" t="inlineStr">
        <is>
          <t>Kyrkan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57420-2024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46217</v>
      </c>
      <c r="F177" t="inlineStr">
        <is>
          <t>VÄSTRA GÖTALANDS LÄN</t>
        </is>
      </c>
      <c r="G177" t="inlineStr">
        <is>
          <t>VARA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12333-2022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44637</v>
      </c>
      <c r="E178" s="1" t="n">
        <v>46217</v>
      </c>
      <c r="F178" t="inlineStr">
        <is>
          <t>VÄSTRA GÖTALANDS LÄN</t>
        </is>
      </c>
      <c r="G178" t="inlineStr">
        <is>
          <t>VARA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46217</v>
      </c>
      <c r="F179" t="inlineStr">
        <is>
          <t>VÄSTRA GÖTALANDS LÄN</t>
        </is>
      </c>
      <c r="G179" t="inlineStr">
        <is>
          <t>VARA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46217</v>
      </c>
      <c r="F180" t="inlineStr">
        <is>
          <t>VÄSTRA GÖTALANDS LÄN</t>
        </is>
      </c>
      <c r="G180" t="inlineStr">
        <is>
          <t>VARA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12016-2025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46217</v>
      </c>
      <c r="F181" t="inlineStr">
        <is>
          <t>VÄSTRA GÖTALANDS LÄN</t>
        </is>
      </c>
      <c r="G181" t="inlineStr">
        <is>
          <t>VARA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46217</v>
      </c>
      <c r="F182" t="inlineStr">
        <is>
          <t>VÄSTRA GÖTALANDS LÄN</t>
        </is>
      </c>
      <c r="G182" t="inlineStr">
        <is>
          <t>VARA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9881-2026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46217</v>
      </c>
      <c r="F183" t="inlineStr">
        <is>
          <t>VÄSTRA GÖTALANDS LÄN</t>
        </is>
      </c>
      <c r="G183" t="inlineStr">
        <is>
          <t>VARA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9919-2026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46217</v>
      </c>
      <c r="F184" t="inlineStr">
        <is>
          <t>VÄSTRA GÖTALANDS LÄN</t>
        </is>
      </c>
      <c r="G184" t="inlineStr">
        <is>
          <t>VARA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9923-2026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46217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9925-2026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46217</v>
      </c>
      <c r="F186" t="inlineStr">
        <is>
          <t>VÄSTRA GÖTALANDS LÄN</t>
        </is>
      </c>
      <c r="G186" t="inlineStr">
        <is>
          <t>VARA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9928-2026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46217</v>
      </c>
      <c r="F187" t="inlineStr">
        <is>
          <t>VÄSTRA GÖTALANDS LÄN</t>
        </is>
      </c>
      <c r="G187" t="inlineStr">
        <is>
          <t>VARA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10966-2026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46217</v>
      </c>
      <c r="F188" t="inlineStr">
        <is>
          <t>VÄSTRA GÖTALANDS LÄN</t>
        </is>
      </c>
      <c r="G188" t="inlineStr">
        <is>
          <t>VARA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35035-2023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46217</v>
      </c>
      <c r="F189" t="inlineStr">
        <is>
          <t>VÄSTRA GÖTALANDS LÄN</t>
        </is>
      </c>
      <c r="G189" t="inlineStr">
        <is>
          <t>VARA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63426-2023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46217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9108-2022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44615</v>
      </c>
      <c r="E191" s="1" t="n">
        <v>46217</v>
      </c>
      <c r="F191" t="inlineStr">
        <is>
          <t>VÄSTRA GÖTALANDS LÄN</t>
        </is>
      </c>
      <c r="G191" t="inlineStr">
        <is>
          <t>VARA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61738-2023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46217</v>
      </c>
      <c r="F192" t="inlineStr">
        <is>
          <t>VÄSTRA GÖTALANDS LÄN</t>
        </is>
      </c>
      <c r="G192" t="inlineStr">
        <is>
          <t>VARA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12700-2026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46217</v>
      </c>
      <c r="F193" t="inlineStr">
        <is>
          <t>VÄSTRA GÖTALANDS LÄN</t>
        </is>
      </c>
      <c r="G193" t="inlineStr">
        <is>
          <t>VARA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46217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46217</v>
      </c>
      <c r="F195" t="inlineStr">
        <is>
          <t>VÄSTRA GÖTALANDS LÄN</t>
        </is>
      </c>
      <c r="G195" t="inlineStr">
        <is>
          <t>VARA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30468-2026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46217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46217</v>
      </c>
      <c r="F197" t="inlineStr">
        <is>
          <t>VÄSTRA GÖTALANDS LÄN</t>
        </is>
      </c>
      <c r="G197" t="inlineStr">
        <is>
          <t>VARA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46217</v>
      </c>
      <c r="F198" t="inlineStr">
        <is>
          <t>VÄSTRA GÖTALANDS LÄN</t>
        </is>
      </c>
      <c r="G198" t="inlineStr">
        <is>
          <t>VARA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46217</v>
      </c>
      <c r="F199" t="inlineStr">
        <is>
          <t>VÄSTRA GÖTALANDS LÄN</t>
        </is>
      </c>
      <c r="G199" t="inlineStr">
        <is>
          <t>VARA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59266-2023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46217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16754-2026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46113</v>
      </c>
      <c r="E201" s="1" t="n">
        <v>46217</v>
      </c>
      <c r="F201" t="inlineStr">
        <is>
          <t>VÄSTRA GÖTALANDS LÄN</t>
        </is>
      </c>
      <c r="G201" t="inlineStr">
        <is>
          <t>VARA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18691-2023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46217</v>
      </c>
      <c r="F202" t="inlineStr">
        <is>
          <t>VÄSTRA GÖTALANDS LÄN</t>
        </is>
      </c>
      <c r="G202" t="inlineStr">
        <is>
          <t>VARA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46217</v>
      </c>
      <c r="F203" t="inlineStr">
        <is>
          <t>VÄSTRA GÖTALANDS LÄN</t>
        </is>
      </c>
      <c r="G203" t="inlineStr">
        <is>
          <t>VARA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57253-2022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44895</v>
      </c>
      <c r="E204" s="1" t="n">
        <v>46217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42038-2024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46217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35059-2023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46217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24715-2026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46217</v>
      </c>
      <c r="F207" t="inlineStr">
        <is>
          <t>VÄSTRA GÖTALANDS LÄN</t>
        </is>
      </c>
      <c r="G207" t="inlineStr">
        <is>
          <t>VARA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50604-2025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46217</v>
      </c>
      <c r="F208" t="inlineStr">
        <is>
          <t>VÄSTRA GÖTALANDS LÄN</t>
        </is>
      </c>
      <c r="G208" t="inlineStr">
        <is>
          <t>VARA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44460</v>
      </c>
      <c r="E209" s="1" t="n">
        <v>46217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50713-2021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44460</v>
      </c>
      <c r="E210" s="1" t="n">
        <v>46217</v>
      </c>
      <c r="F210" t="inlineStr">
        <is>
          <t>VÄSTRA GÖTALANDS LÄN</t>
        </is>
      </c>
      <c r="G210" t="inlineStr">
        <is>
          <t>VARA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30884-2026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46212</v>
      </c>
      <c r="E211" s="1" t="n">
        <v>46217</v>
      </c>
      <c r="F211" t="inlineStr">
        <is>
          <t>VÄSTRA GÖTALANDS LÄN</t>
        </is>
      </c>
      <c r="G211" t="inlineStr">
        <is>
          <t>VARA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46217</v>
      </c>
      <c r="F212" t="inlineStr">
        <is>
          <t>VÄSTRA GÖTALANDS LÄN</t>
        </is>
      </c>
      <c r="G212" t="inlineStr">
        <is>
          <t>VARA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28168-2026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46217</v>
      </c>
      <c r="F213" t="inlineStr">
        <is>
          <t>VÄSTRA GÖTALANDS LÄN</t>
        </is>
      </c>
      <c r="G213" t="inlineStr">
        <is>
          <t>VARA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46217</v>
      </c>
      <c r="F214" t="inlineStr">
        <is>
          <t>VÄSTRA GÖTALANDS LÄN</t>
        </is>
      </c>
      <c r="G214" t="inlineStr">
        <is>
          <t>VARA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46217</v>
      </c>
      <c r="F215" t="inlineStr">
        <is>
          <t>VÄSTRA GÖTALANDS LÄN</t>
        </is>
      </c>
      <c r="G215" t="inlineStr">
        <is>
          <t>VARA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71326-2021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44539</v>
      </c>
      <c r="E216" s="1" t="n">
        <v>46217</v>
      </c>
      <c r="F216" t="inlineStr">
        <is>
          <t>VÄSTRA GÖTALANDS LÄN</t>
        </is>
      </c>
      <c r="G216" t="inlineStr">
        <is>
          <t>VARA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73305-2021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46217</v>
      </c>
      <c r="F217" t="inlineStr">
        <is>
          <t>VÄSTRA GÖTALANDS LÄN</t>
        </is>
      </c>
      <c r="G217" t="inlineStr">
        <is>
          <t>VARA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9013-2023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44979</v>
      </c>
      <c r="E218" s="1" t="n">
        <v>46217</v>
      </c>
      <c r="F218" t="inlineStr">
        <is>
          <t>VÄSTRA GÖTALANDS LÄN</t>
        </is>
      </c>
      <c r="G218" t="inlineStr">
        <is>
          <t>VARA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35608-2023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45146</v>
      </c>
      <c r="E219" s="1" t="n">
        <v>46217</v>
      </c>
      <c r="F219" t="inlineStr">
        <is>
          <t>VÄSTRA GÖTALANDS LÄN</t>
        </is>
      </c>
      <c r="G219" t="inlineStr">
        <is>
          <t>VARA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46217</v>
      </c>
      <c r="F220" t="inlineStr">
        <is>
          <t>VÄSTRA GÖTALANDS LÄN</t>
        </is>
      </c>
      <c r="G220" t="inlineStr">
        <is>
          <t>VARA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9450-2024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46217</v>
      </c>
      <c r="F221" t="inlineStr">
        <is>
          <t>VÄSTRA GÖTALANDS LÄN</t>
        </is>
      </c>
      <c r="G221" t="inlineStr">
        <is>
          <t>VARA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53719-2023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46217</v>
      </c>
      <c r="F222" t="inlineStr">
        <is>
          <t>VÄSTRA GÖTALANDS LÄN</t>
        </is>
      </c>
      <c r="G222" t="inlineStr">
        <is>
          <t>VARA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13481-2023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45005</v>
      </c>
      <c r="E223" s="1" t="n">
        <v>46217</v>
      </c>
      <c r="F223" t="inlineStr">
        <is>
          <t>VÄSTRA GÖTALANDS LÄN</t>
        </is>
      </c>
      <c r="G223" t="inlineStr">
        <is>
          <t>VARA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57759-2023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46217</v>
      </c>
      <c r="F224" t="inlineStr">
        <is>
          <t>VÄSTRA GÖTALANDS LÄN</t>
        </is>
      </c>
      <c r="G224" t="inlineStr">
        <is>
          <t>VARA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51467-2023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45221</v>
      </c>
      <c r="E225" s="1" t="n">
        <v>46217</v>
      </c>
      <c r="F225" t="inlineStr">
        <is>
          <t>VÄSTRA GÖTALANDS LÄN</t>
        </is>
      </c>
      <c r="G225" t="inlineStr">
        <is>
          <t>VARA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25764-2023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46217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45435</v>
      </c>
      <c r="E227" s="1" t="n">
        <v>46217</v>
      </c>
      <c r="F227" t="inlineStr">
        <is>
          <t>VÄSTRA GÖTALANDS LÄN</t>
        </is>
      </c>
      <c r="G227" t="inlineStr">
        <is>
          <t>VARA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46217</v>
      </c>
      <c r="F228" t="inlineStr">
        <is>
          <t>VÄSTRA GÖTALANDS LÄN</t>
        </is>
      </c>
      <c r="G228" t="inlineStr">
        <is>
          <t>VARA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22901-2024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46217</v>
      </c>
      <c r="F229" t="inlineStr">
        <is>
          <t>VÄSTRA GÖTALANDS LÄN</t>
        </is>
      </c>
      <c r="G229" t="inlineStr">
        <is>
          <t>VARA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20433-2024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46217</v>
      </c>
      <c r="F230" t="inlineStr">
        <is>
          <t>VÄSTRA GÖTALANDS LÄN</t>
        </is>
      </c>
      <c r="G230" t="inlineStr">
        <is>
          <t>VARA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9216-2024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46217</v>
      </c>
      <c r="F231" t="inlineStr">
        <is>
          <t>VÄSTRA GÖTALANDS LÄN</t>
        </is>
      </c>
      <c r="G231" t="inlineStr">
        <is>
          <t>VARA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11589-2022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44631</v>
      </c>
      <c r="E232" s="1" t="n">
        <v>46217</v>
      </c>
      <c r="F232" t="inlineStr">
        <is>
          <t>VÄSTRA GÖTALANDS LÄN</t>
        </is>
      </c>
      <c r="G232" t="inlineStr">
        <is>
          <t>VARA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45677</v>
      </c>
      <c r="E233" s="1" t="n">
        <v>46217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56856-2024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45628</v>
      </c>
      <c r="E234" s="1" t="n">
        <v>46217</v>
      </c>
      <c r="F234" t="inlineStr">
        <is>
          <t>VÄSTRA GÖTALANDS LÄN</t>
        </is>
      </c>
      <c r="G234" t="inlineStr">
        <is>
          <t>VARA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46217</v>
      </c>
      <c r="F235" t="inlineStr">
        <is>
          <t>VÄSTRA GÖTALANDS LÄN</t>
        </is>
      </c>
      <c r="G235" t="inlineStr">
        <is>
          <t>VARA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61879-2023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46217</v>
      </c>
      <c r="F236" t="inlineStr">
        <is>
          <t>VÄSTRA GÖTALANDS LÄN</t>
        </is>
      </c>
      <c r="G236" t="inlineStr">
        <is>
          <t>VARA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58514-2024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46217</v>
      </c>
      <c r="F237" t="inlineStr">
        <is>
          <t>VÄSTRA GÖTALANDS LÄN</t>
        </is>
      </c>
      <c r="G237" t="inlineStr">
        <is>
          <t>VARA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13511-2024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45387</v>
      </c>
      <c r="E238" s="1" t="n">
        <v>46217</v>
      </c>
      <c r="F238" t="inlineStr">
        <is>
          <t>VÄSTRA GÖTALANDS LÄN</t>
        </is>
      </c>
      <c r="G238" t="inlineStr">
        <is>
          <t>VARA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40224-2024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46217</v>
      </c>
      <c r="F239" t="inlineStr">
        <is>
          <t>VÄSTRA GÖTALANDS LÄN</t>
        </is>
      </c>
      <c r="G239" t="inlineStr">
        <is>
          <t>VARA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43620-2024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46217</v>
      </c>
      <c r="F240" t="inlineStr">
        <is>
          <t>VÄSTRA GÖTALANDS LÄN</t>
        </is>
      </c>
      <c r="G240" t="inlineStr">
        <is>
          <t>VARA</t>
        </is>
      </c>
      <c r="H240" t="inlineStr">
        <is>
          <t>Kyrkan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10165-2025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46217</v>
      </c>
      <c r="F241" t="inlineStr">
        <is>
          <t>VÄSTRA GÖTALANDS LÄN</t>
        </is>
      </c>
      <c r="G241" t="inlineStr">
        <is>
          <t>VARA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52237-2021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46217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38160-2022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46217</v>
      </c>
      <c r="F243" t="inlineStr">
        <is>
          <t>VÄSTRA GÖTALANDS LÄN</t>
        </is>
      </c>
      <c r="G243" t="inlineStr">
        <is>
          <t>VARA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14593-2022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44655</v>
      </c>
      <c r="E244" s="1" t="n">
        <v>46217</v>
      </c>
      <c r="F244" t="inlineStr">
        <is>
          <t>VÄSTRA GÖTALANDS LÄN</t>
        </is>
      </c>
      <c r="G244" t="inlineStr">
        <is>
          <t>VARA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46217</v>
      </c>
      <c r="F245" t="inlineStr">
        <is>
          <t>VÄSTRA GÖTALANDS LÄN</t>
        </is>
      </c>
      <c r="G245" t="inlineStr">
        <is>
          <t>VARA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43754-2022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44837</v>
      </c>
      <c r="E246" s="1" t="n">
        <v>46217</v>
      </c>
      <c r="F246" t="inlineStr">
        <is>
          <t>VÄSTRA GÖTALANDS LÄN</t>
        </is>
      </c>
      <c r="G246" t="inlineStr">
        <is>
          <t>VARA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46217</v>
      </c>
      <c r="F247" t="inlineStr">
        <is>
          <t>VÄSTRA GÖTALANDS LÄN</t>
        </is>
      </c>
      <c r="G247" t="inlineStr">
        <is>
          <t>VARA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57465-2024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46217</v>
      </c>
      <c r="F248" t="inlineStr">
        <is>
          <t>VÄSTRA GÖTALANDS LÄN</t>
        </is>
      </c>
      <c r="G248" t="inlineStr">
        <is>
          <t>VARA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46217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13235-2024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45386</v>
      </c>
      <c r="E250" s="1" t="n">
        <v>46217</v>
      </c>
      <c r="F250" t="inlineStr">
        <is>
          <t>VÄSTRA GÖTALANDS LÄN</t>
        </is>
      </c>
      <c r="G250" t="inlineStr">
        <is>
          <t>VARA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46217</v>
      </c>
      <c r="F251" t="inlineStr">
        <is>
          <t>VÄSTRA GÖTALANDS LÄN</t>
        </is>
      </c>
      <c r="G251" t="inlineStr">
        <is>
          <t>VARA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45387</v>
      </c>
      <c r="E252" s="1" t="n">
        <v>46217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10303-2024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45365</v>
      </c>
      <c r="E253" s="1" t="n">
        <v>46217</v>
      </c>
      <c r="F253" t="inlineStr">
        <is>
          <t>VÄSTRA GÖTALANDS LÄN</t>
        </is>
      </c>
      <c r="G253" t="inlineStr">
        <is>
          <t>VARA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46217</v>
      </c>
      <c r="F254" t="inlineStr">
        <is>
          <t>VÄSTRA GÖTALANDS LÄN</t>
        </is>
      </c>
      <c r="G254" t="inlineStr">
        <is>
          <t>VARA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23668-2025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46217</v>
      </c>
      <c r="F255" t="inlineStr">
        <is>
          <t>VÄSTRA GÖTALANDS LÄN</t>
        </is>
      </c>
      <c r="G255" t="inlineStr">
        <is>
          <t>VARA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48908-2024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46217</v>
      </c>
      <c r="F256" t="inlineStr">
        <is>
          <t>VÄSTRA GÖTALANDS LÄN</t>
        </is>
      </c>
      <c r="G256" t="inlineStr">
        <is>
          <t>VARA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23669-2025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45792</v>
      </c>
      <c r="E257" s="1" t="n">
        <v>46217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46217</v>
      </c>
      <c r="F258" t="inlineStr">
        <is>
          <t>VÄSTRA GÖTALANDS LÄN</t>
        </is>
      </c>
      <c r="G258" t="inlineStr">
        <is>
          <t>VARA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57313-2024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46217</v>
      </c>
      <c r="F259" t="inlineStr">
        <is>
          <t>VÄSTRA GÖTALANDS LÄN</t>
        </is>
      </c>
      <c r="G259" t="inlineStr">
        <is>
          <t>VARA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57295-2024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46217</v>
      </c>
      <c r="F260" t="inlineStr">
        <is>
          <t>VÄSTRA GÖTALANDS LÄN</t>
        </is>
      </c>
      <c r="G260" t="inlineStr">
        <is>
          <t>VARA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27819-2024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46217</v>
      </c>
      <c r="F261" t="inlineStr">
        <is>
          <t>VÄSTRA GÖTALANDS LÄN</t>
        </is>
      </c>
      <c r="G261" t="inlineStr">
        <is>
          <t>VARA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51398-2024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45604</v>
      </c>
      <c r="E262" s="1" t="n">
        <v>46217</v>
      </c>
      <c r="F262" t="inlineStr">
        <is>
          <t>VÄSTRA GÖTALANDS LÄN</t>
        </is>
      </c>
      <c r="G262" t="inlineStr">
        <is>
          <t>VARA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46217</v>
      </c>
      <c r="F263" t="inlineStr">
        <is>
          <t>VÄSTRA GÖTALANDS LÄN</t>
        </is>
      </c>
      <c r="G263" t="inlineStr">
        <is>
          <t>VARA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59527-2024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46217</v>
      </c>
      <c r="F264" t="inlineStr">
        <is>
          <t>VÄSTRA GÖTALANDS LÄN</t>
        </is>
      </c>
      <c r="G264" t="inlineStr">
        <is>
          <t>VARA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12009-2025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45728</v>
      </c>
      <c r="E265" s="1" t="n">
        <v>46217</v>
      </c>
      <c r="F265" t="inlineStr">
        <is>
          <t>VÄSTRA GÖTALANDS LÄN</t>
        </is>
      </c>
      <c r="G265" t="inlineStr">
        <is>
          <t>VARA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29814-2025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46217</v>
      </c>
      <c r="F266" t="inlineStr">
        <is>
          <t>VÄSTRA GÖTALANDS LÄN</t>
        </is>
      </c>
      <c r="G266" t="inlineStr">
        <is>
          <t>VARA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31163-2025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46217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31629-2025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45834</v>
      </c>
      <c r="E268" s="1" t="n">
        <v>46217</v>
      </c>
      <c r="F268" t="inlineStr">
        <is>
          <t>VÄSTRA GÖTALANDS LÄN</t>
        </is>
      </c>
      <c r="G268" t="inlineStr">
        <is>
          <t>VARA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22532-2025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45786</v>
      </c>
      <c r="E269" s="1" t="n">
        <v>46217</v>
      </c>
      <c r="F269" t="inlineStr">
        <is>
          <t>VÄSTRA GÖTALANDS LÄN</t>
        </is>
      </c>
      <c r="G269" t="inlineStr">
        <is>
          <t>VARA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46217</v>
      </c>
      <c r="F270" t="inlineStr">
        <is>
          <t>VÄSTRA GÖTALANDS LÄN</t>
        </is>
      </c>
      <c r="G270" t="inlineStr">
        <is>
          <t>VARA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33664-2025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46217</v>
      </c>
      <c r="F271" t="inlineStr">
        <is>
          <t>VÄSTRA GÖTALANDS LÄN</t>
        </is>
      </c>
      <c r="G271" t="inlineStr">
        <is>
          <t>VARA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33910-2025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45842</v>
      </c>
      <c r="E272" s="1" t="n">
        <v>46217</v>
      </c>
      <c r="F272" t="inlineStr">
        <is>
          <t>VÄSTRA GÖTALANDS LÄN</t>
        </is>
      </c>
      <c r="G272" t="inlineStr">
        <is>
          <t>VARA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45667</v>
      </c>
      <c r="E273" s="1" t="n">
        <v>46217</v>
      </c>
      <c r="F273" t="inlineStr">
        <is>
          <t>VÄSTRA GÖTALANDS LÄN</t>
        </is>
      </c>
      <c r="G273" t="inlineStr">
        <is>
          <t>VARA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46217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1352-2022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44628</v>
      </c>
      <c r="E275" s="1" t="n">
        <v>46217</v>
      </c>
      <c r="F275" t="inlineStr">
        <is>
          <t>VÄSTRA GÖTALANDS LÄN</t>
        </is>
      </c>
      <c r="G275" t="inlineStr">
        <is>
          <t>VARA</t>
        </is>
      </c>
      <c r="H275" t="inlineStr">
        <is>
          <t>Kyrkan</t>
        </is>
      </c>
      <c r="I275" t="n">
        <v>47.1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761-2022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44601</v>
      </c>
      <c r="E276" s="1" t="n">
        <v>46217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279-2024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46217</v>
      </c>
      <c r="F277" t="inlineStr">
        <is>
          <t>VÄSTRA GÖTALANDS LÄN</t>
        </is>
      </c>
      <c r="G277" t="inlineStr">
        <is>
          <t>VARA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46217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273-2024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46217</v>
      </c>
      <c r="F279" t="inlineStr">
        <is>
          <t>VÄSTRA GÖTALANDS LÄN</t>
        </is>
      </c>
      <c r="G279" t="inlineStr">
        <is>
          <t>VARA</t>
        </is>
      </c>
      <c r="I279" t="n">
        <v>38.9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777-2024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45368</v>
      </c>
      <c r="E280" s="1" t="n">
        <v>46217</v>
      </c>
      <c r="F280" t="inlineStr">
        <is>
          <t>VÄSTRA GÖTALANDS LÄN</t>
        </is>
      </c>
      <c r="G280" t="inlineStr">
        <is>
          <t>VARA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274-2024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46217</v>
      </c>
      <c r="F281" t="inlineStr">
        <is>
          <t>VÄSTRA GÖTALANDS LÄN</t>
        </is>
      </c>
      <c r="G281" t="inlineStr">
        <is>
          <t>VARA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280-2024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46217</v>
      </c>
      <c r="F282" t="inlineStr">
        <is>
          <t>VÄSTRA GÖTALANDS LÄN</t>
        </is>
      </c>
      <c r="G282" t="inlineStr">
        <is>
          <t>VARA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2026-07-14T09:02:09Z</dcterms:created>
  <dcterms:modified xmlns:dcterms="http://purl.org/dc/terms/" xmlns:xsi="http://www.w3.org/2001/XMLSchema-instance" xsi:type="dcterms:W3CDTF">2026-07-14T09:02:09Z</dcterms:modified>
</cp:coreProperties>
</file>